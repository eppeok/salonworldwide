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atabase" sheetId="1" state="visible" r:id="rId1"/>
    <sheet xmlns:r="http://schemas.openxmlformats.org/officeDocument/2006/relationships" name="Daily Activity Log" sheetId="2" state="visible" r:id="rId2"/>
    <sheet xmlns:r="http://schemas.openxmlformats.org/officeDocument/2006/relationships" name="Weekly Dashboard" sheetId="3" state="visible" r:id="rId3"/>
    <sheet xmlns:r="http://schemas.openxmlformats.org/officeDocument/2006/relationships" name="Email Sequence Tracker" sheetId="4" state="visible" r:id="rId4"/>
    <sheet xmlns:r="http://schemas.openxmlformats.org/officeDocument/2006/relationships" name="Channel Performance" sheetId="5" state="visible" r:id="rId5"/>
    <sheet xmlns:r="http://schemas.openxmlformats.org/officeDocument/2006/relationships" name="6-Week Execution Calendar" sheetId="6" state="visible" r:id="rId6"/>
  </sheets>
  <definedNames>
    <definedName name="_xlnm._FilterDatabase" localSheetId="0" hidden="1">'Lead Database'!$A$1:$Y$6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3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4" customWidth="1" min="4" max="4"/>
    <col width="8" customWidth="1" min="5" max="5"/>
    <col width="14" customWidth="1" min="6" max="6"/>
    <col width="18" customWidth="1" min="7" max="7"/>
    <col width="25" customWidth="1" min="8" max="8"/>
    <col width="15" customWidth="1" min="9" max="9"/>
    <col width="2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4" customWidth="1" min="16" max="16"/>
    <col width="16" customWidth="1" min="17" max="17"/>
    <col width="16" customWidth="1" min="18" max="18"/>
    <col width="20" customWidth="1" min="19" max="19"/>
    <col width="12" customWidth="1" min="20" max="20"/>
    <col width="14" customWidth="1" min="21" max="21"/>
    <col width="14" customWidth="1" min="22" max="22"/>
    <col width="10" customWidth="1" min="23" max="23"/>
    <col width="12" customWidth="1" min="24" max="24"/>
    <col width="30" customWidth="1" min="25" max="25"/>
  </cols>
  <sheetData>
    <row r="1">
      <c r="A1" s="1" t="inlineStr">
        <is>
          <t>Lead ID</t>
        </is>
      </c>
      <c r="B1" s="1" t="inlineStr">
        <is>
          <t>Full Name</t>
        </is>
      </c>
      <c r="C1" s="1" t="inlineStr">
        <is>
          <t>Salon 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Platform Found</t>
        </is>
      </c>
      <c r="G1" s="1" t="inlineStr">
        <is>
          <t>Instagram Handle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Follower Count</t>
        </is>
      </c>
      <c r="L1" s="1" t="inlineStr">
        <is>
          <t>Running Ads?</t>
        </is>
      </c>
      <c r="M1" s="1" t="inlineStr">
        <is>
          <t>Lead Score</t>
        </is>
      </c>
      <c r="N1" s="1" t="inlineStr">
        <is>
          <t>Lead Tier</t>
        </is>
      </c>
      <c r="O1" s="1" t="inlineStr">
        <is>
          <t>Current Phase</t>
        </is>
      </c>
      <c r="P1" s="1" t="inlineStr">
        <is>
          <t>First Contact Date</t>
        </is>
      </c>
      <c r="Q1" s="1" t="inlineStr">
        <is>
          <t>First Contact Channel</t>
        </is>
      </c>
      <c r="R1" s="1" t="inlineStr">
        <is>
          <t>First Response Date</t>
        </is>
      </c>
      <c r="S1" s="1" t="inlineStr">
        <is>
          <t>Response Status</t>
        </is>
      </c>
      <c r="T1" s="1" t="inlineStr">
        <is>
          <t>Follow-Up Count</t>
        </is>
      </c>
      <c r="U1" s="1" t="inlineStr">
        <is>
          <t>Last Follow-Up Date</t>
        </is>
      </c>
      <c r="V1" s="1" t="inlineStr">
        <is>
          <t>Landing Page Click?</t>
        </is>
      </c>
      <c r="W1" s="1" t="inlineStr">
        <is>
          <t>Purchased?</t>
        </is>
      </c>
      <c r="X1" s="1" t="inlineStr">
        <is>
          <t>Purchase Date</t>
        </is>
      </c>
      <c r="Y1" s="1" t="inlineStr">
        <is>
          <t>Notes</t>
        </is>
      </c>
    </row>
    <row r="2">
      <c r="A2" s="2" t="inlineStr">
        <is>
          <t>L001</t>
        </is>
      </c>
      <c r="B2" s="2" t="inlineStr">
        <is>
          <t>Maria Rodriguez</t>
        </is>
      </c>
      <c r="C2" s="2" t="inlineStr">
        <is>
          <t>Glow Beauty Salon</t>
        </is>
      </c>
      <c r="D2" s="2" t="inlineStr">
        <is>
          <t>Miami</t>
        </is>
      </c>
      <c r="E2" s="2" t="inlineStr">
        <is>
          <t>FL</t>
        </is>
      </c>
      <c r="F2" s="2" t="inlineStr">
        <is>
          <t>Instagram</t>
        </is>
      </c>
      <c r="G2" s="2" t="inlineStr">
        <is>
          <t>@glowbeautymiami</t>
        </is>
      </c>
      <c r="H2" s="2" t="inlineStr">
        <is>
          <t>maria@glowbeauty.com</t>
        </is>
      </c>
      <c r="I2" s="2" t="inlineStr">
        <is>
          <t>305-555-0123</t>
        </is>
      </c>
      <c r="J2" s="2" t="inlineStr">
        <is>
          <t>glowbeautysalon.com</t>
        </is>
      </c>
      <c r="K2" s="2" t="n">
        <v>3200</v>
      </c>
      <c r="L2" s="2" t="inlineStr">
        <is>
          <t>Yes</t>
        </is>
      </c>
      <c r="M2" s="2" t="n">
        <v>75</v>
      </c>
      <c r="N2" s="2" t="inlineStr">
        <is>
          <t>HOT</t>
        </is>
      </c>
      <c r="O2" s="2" t="inlineStr">
        <is>
          <t>Attention</t>
        </is>
      </c>
      <c r="P2" s="2" t="inlineStr">
        <is>
          <t>2026-04-01</t>
        </is>
      </c>
      <c r="Q2" s="2" t="inlineStr">
        <is>
          <t>Instagram DM</t>
        </is>
      </c>
      <c r="R2" s="2" t="inlineStr">
        <is>
          <t>2026-04-02</t>
        </is>
      </c>
      <c r="S2" s="2" t="inlineStr">
        <is>
          <t>Replied - Interested</t>
        </is>
      </c>
      <c r="T2" s="2" t="n">
        <v>2</v>
      </c>
      <c r="U2" s="2" t="inlineStr">
        <is>
          <t>2026-04-05</t>
        </is>
      </c>
      <c r="V2" s="2" t="inlineStr">
        <is>
          <t>Yes</t>
        </is>
      </c>
      <c r="W2" s="2" t="inlineStr">
        <is>
          <t>No</t>
        </is>
      </c>
      <c r="X2" s="2" t="inlineStr"/>
      <c r="Y2" s="2" t="inlineStr">
        <is>
          <t>Very interested, asked about reactivation module</t>
        </is>
      </c>
    </row>
    <row r="3">
      <c r="A3" s="2" t="inlineStr">
        <is>
          <t>L002</t>
        </is>
      </c>
      <c r="B3" s="2" t="inlineStr">
        <is>
          <t>Jennifer Kim</t>
        </is>
      </c>
      <c r="C3" s="2" t="inlineStr">
        <is>
          <t>JK Hair Studio</t>
        </is>
      </c>
      <c r="D3" s="2" t="inlineStr">
        <is>
          <t>Los Angeles</t>
        </is>
      </c>
      <c r="E3" s="2" t="inlineStr">
        <is>
          <t>CA</t>
        </is>
      </c>
      <c r="F3" s="2" t="inlineStr">
        <is>
          <t>Apollo.io</t>
        </is>
      </c>
      <c r="G3" s="2" t="inlineStr">
        <is>
          <t>@jkhairstudio</t>
        </is>
      </c>
      <c r="H3" s="2" t="inlineStr">
        <is>
          <t>jen@jkhairstudio.com</t>
        </is>
      </c>
      <c r="I3" s="2" t="inlineStr">
        <is>
          <t>310-555-0456</t>
        </is>
      </c>
      <c r="J3" s="2" t="inlineStr">
        <is>
          <t>jkhairstudio.com</t>
        </is>
      </c>
      <c r="K3" s="2" t="n">
        <v>5600</v>
      </c>
      <c r="L3" s="2" t="inlineStr">
        <is>
          <t>Yes</t>
        </is>
      </c>
      <c r="M3" s="2" t="n">
        <v>55</v>
      </c>
      <c r="N3" s="2" t="inlineStr">
        <is>
          <t>WARM</t>
        </is>
      </c>
      <c r="O3" s="2" t="inlineStr">
        <is>
          <t>Interest</t>
        </is>
      </c>
      <c r="P3" s="2" t="inlineStr">
        <is>
          <t>2026-04-01</t>
        </is>
      </c>
      <c r="Q3" s="2" t="inlineStr">
        <is>
          <t>Cold Email</t>
        </is>
      </c>
      <c r="R3" s="2" t="inlineStr">
        <is>
          <t>2026-04-04</t>
        </is>
      </c>
      <c r="S3" s="2" t="inlineStr">
        <is>
          <t>Replied - Maybe</t>
        </is>
      </c>
      <c r="T3" s="2" t="n">
        <v>1</v>
      </c>
      <c r="U3" s="2" t="inlineStr">
        <is>
          <t>2026-04-04</t>
        </is>
      </c>
      <c r="V3" s="2" t="inlineStr">
        <is>
          <t>No</t>
        </is>
      </c>
      <c r="W3" s="2" t="inlineStr">
        <is>
          <t>No</t>
        </is>
      </c>
      <c r="X3" s="2" t="inlineStr"/>
      <c r="Y3" s="2" t="inlineStr">
        <is>
          <t>Opened email 1 and 2, replied asking for more info</t>
        </is>
      </c>
    </row>
    <row r="4">
      <c r="A4" s="2" t="inlineStr">
        <is>
          <t>L003</t>
        </is>
      </c>
      <c r="B4" s="2" t="inlineStr">
        <is>
          <t>Tasha Williams</t>
        </is>
      </c>
      <c r="C4" s="2" t="inlineStr">
        <is>
          <t>Crown &amp; Glory</t>
        </is>
      </c>
      <c r="D4" s="2" t="inlineStr">
        <is>
          <t>Atlanta</t>
        </is>
      </c>
      <c r="E4" s="2" t="inlineStr">
        <is>
          <t>GA</t>
        </is>
      </c>
      <c r="F4" s="2" t="inlineStr">
        <is>
          <t>Facebook Group</t>
        </is>
      </c>
      <c r="G4" s="2" t="inlineStr">
        <is>
          <t>@crownandgloryatl</t>
        </is>
      </c>
      <c r="H4" s="2" t="inlineStr">
        <is>
          <t>tasha@crownandglory.com</t>
        </is>
      </c>
      <c r="I4" s="2" t="inlineStr">
        <is>
          <t>404-555-0789</t>
        </is>
      </c>
      <c r="J4" s="2" t="inlineStr">
        <is>
          <t>crownandglorysalon.com</t>
        </is>
      </c>
      <c r="K4" s="2" t="n">
        <v>1800</v>
      </c>
      <c r="L4" s="2" t="inlineStr">
        <is>
          <t>Unknown</t>
        </is>
      </c>
      <c r="M4" s="2" t="n">
        <v>35</v>
      </c>
      <c r="N4" s="2" t="inlineStr">
        <is>
          <t>COOL</t>
        </is>
      </c>
      <c r="O4" s="2" t="inlineStr">
        <is>
          <t>Attention</t>
        </is>
      </c>
      <c r="P4" s="2" t="inlineStr">
        <is>
          <t>2026-04-03</t>
        </is>
      </c>
      <c r="Q4" s="2" t="inlineStr">
        <is>
          <t>Facebook DM</t>
        </is>
      </c>
      <c r="R4" s="2" t="inlineStr"/>
      <c r="S4" s="2" t="inlineStr">
        <is>
          <t>No Response</t>
        </is>
      </c>
      <c r="T4" s="2" t="n">
        <v>1</v>
      </c>
      <c r="U4" s="2" t="inlineStr">
        <is>
          <t>2026-04-07</t>
        </is>
      </c>
      <c r="V4" s="2" t="inlineStr">
        <is>
          <t>No</t>
        </is>
      </c>
      <c r="W4" s="2" t="inlineStr">
        <is>
          <t>No</t>
        </is>
      </c>
      <c r="X4" s="2" t="inlineStr"/>
      <c r="Y4" s="2" t="inlineStr">
        <is>
          <t>Engaged with FB group post but no DM reply</t>
        </is>
      </c>
    </row>
    <row r="5">
      <c r="A5" s="2" t="inlineStr">
        <is>
          <t>L004</t>
        </is>
      </c>
      <c r="B5" s="2" t="inlineStr">
        <is>
          <t>Fatima Hassan</t>
        </is>
      </c>
      <c r="C5" s="2" t="inlineStr">
        <is>
          <t>Luxe Locks Salon</t>
        </is>
      </c>
      <c r="D5" s="2" t="inlineStr">
        <is>
          <t>Houston</t>
        </is>
      </c>
      <c r="E5" s="2" t="inlineStr">
        <is>
          <t>TX</t>
        </is>
      </c>
      <c r="F5" s="2" t="inlineStr">
        <is>
          <t>Google Maps</t>
        </is>
      </c>
      <c r="G5" s="2" t="inlineStr">
        <is>
          <t>@luxelockshtx</t>
        </is>
      </c>
      <c r="H5" s="2" t="inlineStr">
        <is>
          <t>fatima@luxelocks.com</t>
        </is>
      </c>
      <c r="I5" s="2" t="inlineStr">
        <is>
          <t>713-555-0321</t>
        </is>
      </c>
      <c r="J5" s="2" t="inlineStr">
        <is>
          <t>luxelockssalon.com</t>
        </is>
      </c>
      <c r="K5" s="2" t="n">
        <v>7800</v>
      </c>
      <c r="L5" s="2" t="inlineStr">
        <is>
          <t>Yes</t>
        </is>
      </c>
      <c r="M5" s="2" t="n">
        <v>85</v>
      </c>
      <c r="N5" s="2" t="inlineStr">
        <is>
          <t>HOT</t>
        </is>
      </c>
      <c r="O5" s="2" t="inlineStr">
        <is>
          <t>Desire</t>
        </is>
      </c>
      <c r="P5" s="2" t="inlineStr">
        <is>
          <t>2026-04-01</t>
        </is>
      </c>
      <c r="Q5" s="2" t="inlineStr">
        <is>
          <t>Instagram DM</t>
        </is>
      </c>
      <c r="R5" s="2" t="inlineStr">
        <is>
          <t>2026-04-01</t>
        </is>
      </c>
      <c r="S5" s="2" t="inlineStr">
        <is>
          <t>Clicked Link</t>
        </is>
      </c>
      <c r="T5" s="2" t="n">
        <v>3</v>
      </c>
      <c r="U5" s="2" t="inlineStr">
        <is>
          <t>2026-04-10</t>
        </is>
      </c>
      <c r="V5" s="2" t="inlineStr">
        <is>
          <t>Yes</t>
        </is>
      </c>
      <c r="W5" s="2" t="inlineStr">
        <is>
          <t>No</t>
        </is>
      </c>
      <c r="X5" s="2" t="inlineStr"/>
      <c r="Y5" s="2" t="inlineStr">
        <is>
          <t>Clicked link twice, sent WhatsApp voice note</t>
        </is>
      </c>
    </row>
    <row r="6">
      <c r="A6" s="2" t="inlineStr">
        <is>
          <t>L005</t>
        </is>
      </c>
      <c r="B6" s="2" t="inlineStr">
        <is>
          <t>David Chen</t>
        </is>
      </c>
      <c r="C6" s="2" t="inlineStr">
        <is>
          <t>Studio 88 Hair</t>
        </is>
      </c>
      <c r="D6" s="2" t="inlineStr">
        <is>
          <t>San Francisco</t>
        </is>
      </c>
      <c r="E6" s="2" t="inlineStr">
        <is>
          <t>CA</t>
        </is>
      </c>
      <c r="F6" s="2" t="inlineStr">
        <is>
          <t>LinkedIn</t>
        </is>
      </c>
      <c r="G6" s="2" t="inlineStr"/>
      <c r="H6" s="2" t="inlineStr">
        <is>
          <t>david@studio88hair.com</t>
        </is>
      </c>
      <c r="I6" s="2" t="inlineStr">
        <is>
          <t>415-555-0654</t>
        </is>
      </c>
      <c r="J6" s="2" t="inlineStr">
        <is>
          <t>studio88hair.com</t>
        </is>
      </c>
      <c r="K6" s="2" t="n">
        <v>2100</v>
      </c>
      <c r="L6" s="2" t="inlineStr">
        <is>
          <t>No</t>
        </is>
      </c>
      <c r="M6" s="2" t="n">
        <v>25</v>
      </c>
      <c r="N6" s="2" t="inlineStr">
        <is>
          <t>COOL</t>
        </is>
      </c>
      <c r="O6" s="2" t="inlineStr">
        <is>
          <t>Attention</t>
        </is>
      </c>
      <c r="P6" s="2" t="inlineStr">
        <is>
          <t>2026-04-05</t>
        </is>
      </c>
      <c r="Q6" s="2" t="inlineStr">
        <is>
          <t>LinkedIn</t>
        </is>
      </c>
      <c r="R6" s="2" t="inlineStr"/>
      <c r="S6" s="2" t="inlineStr">
        <is>
          <t>No Response</t>
        </is>
      </c>
      <c r="T6" s="2" t="n">
        <v>0</v>
      </c>
      <c r="U6" s="2" t="inlineStr"/>
      <c r="V6" s="2" t="inlineStr">
        <is>
          <t>No</t>
        </is>
      </c>
      <c r="W6" s="2" t="inlineStr">
        <is>
          <t>No</t>
        </is>
      </c>
      <c r="X6" s="2" t="inlineStr"/>
      <c r="Y6" s="2" t="inlineStr">
        <is>
          <t>Connected on LinkedIn, no reply to message</t>
        </is>
      </c>
    </row>
  </sheetData>
  <autoFilter ref="A1:Y6"/>
  <dataValidations count="6">
    <dataValidation sqref="F2:F500" showDropDown="0" showInputMessage="0" showErrorMessage="0" allowBlank="0" type="list">
      <formula1>"Instagram,Facebook,LinkedIn,Google Maps,Yelp,Apollo.io,Hunter.io,Referral,Threads,Reddit"</formula1>
    </dataValidation>
    <dataValidation sqref="L2:L500" showDropDown="0" showInputMessage="0" showErrorMessage="0" allowBlank="0" type="list">
      <formula1>"Yes,No,Unknown"</formula1>
    </dataValidation>
    <dataValidation sqref="N2:N500" showDropDown="0" showInputMessage="0" showErrorMessage="0" allowBlank="0" type="list">
      <formula1>"HOT,WARM,COOL,COLD"</formula1>
    </dataValidation>
    <dataValidation sqref="O2:O500" showDropDown="0" showInputMessage="0" showErrorMessage="0" allowBlank="0" type="list">
      <formula1>"Attention,Interest,Desire,Action"</formula1>
    </dataValidation>
    <dataValidation sqref="S2:S500" showDropDown="0" showInputMessage="0" showErrorMessage="0" allowBlank="0" type="list">
      <formula1>"No Response,Replied - Interested,Replied - Not Interested,Replied - Maybe,Clicked Link,Purchased"</formula1>
    </dataValidation>
    <dataValidation sqref="V2:V500 W2:W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8" customWidth="1" min="22" max="22"/>
    <col width="10" customWidth="1" min="23" max="23"/>
    <col width="25" customWidth="1" min="24" max="2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 #</t>
        </is>
      </c>
      <c r="D1" s="1" t="inlineStr">
        <is>
          <t>Phase</t>
        </is>
      </c>
      <c r="E1" s="1" t="inlineStr">
        <is>
          <t>IG DMs Sent</t>
        </is>
      </c>
      <c r="F1" s="1" t="inlineStr">
        <is>
          <t>IG DM Replies</t>
        </is>
      </c>
      <c r="G1" s="1" t="inlineStr">
        <is>
          <t>DM Reply Rate</t>
        </is>
      </c>
      <c r="H1" s="1" t="inlineStr">
        <is>
          <t>Emails Sent (GHL)</t>
        </is>
      </c>
      <c r="I1" s="1" t="inlineStr">
        <is>
          <t>Email Opens</t>
        </is>
      </c>
      <c r="J1" s="1" t="inlineStr">
        <is>
          <t>Email Open Rate</t>
        </is>
      </c>
      <c r="K1" s="1" t="inlineStr">
        <is>
          <t>Email Replies</t>
        </is>
      </c>
      <c r="L1" s="1" t="inlineStr">
        <is>
          <t>Email Click-Throughs</t>
        </is>
      </c>
      <c r="M1" s="1" t="inlineStr">
        <is>
          <t>LinkedIn Requests</t>
        </is>
      </c>
      <c r="N1" s="1" t="inlineStr">
        <is>
          <t>LinkedIn Accepted</t>
        </is>
      </c>
      <c r="O1" s="1" t="inlineStr">
        <is>
          <t>LinkedIn Messages</t>
        </is>
      </c>
      <c r="P1" s="1" t="inlineStr">
        <is>
          <t>LinkedIn Replies</t>
        </is>
      </c>
      <c r="Q1" s="1" t="inlineStr">
        <is>
          <t>FB Group Comments</t>
        </is>
      </c>
      <c r="R1" s="1" t="inlineStr">
        <is>
          <t>FB Group Posts</t>
        </is>
      </c>
      <c r="S1" s="1" t="inlineStr">
        <is>
          <t>WhatsApp Sent</t>
        </is>
      </c>
      <c r="T1" s="1" t="inlineStr">
        <is>
          <t>WhatsApp Replies</t>
        </is>
      </c>
      <c r="U1" s="1" t="inlineStr">
        <is>
          <t>Landing Page Visits</t>
        </is>
      </c>
      <c r="V1" s="1" t="inlineStr">
        <is>
          <t>Sales</t>
        </is>
      </c>
      <c r="W1" s="1" t="inlineStr">
        <is>
          <t>Revenue</t>
        </is>
      </c>
      <c r="X1" s="1" t="inlineStr">
        <is>
          <t>Notes</t>
        </is>
      </c>
    </row>
    <row r="2">
      <c r="A2" s="2" t="inlineStr">
        <is>
          <t>2026-04-06</t>
        </is>
      </c>
      <c r="B2" s="2" t="inlineStr">
        <is>
          <t>Monday</t>
        </is>
      </c>
      <c r="C2" s="2" t="n">
        <v>1</v>
      </c>
      <c r="D2" s="2" t="inlineStr">
        <is>
          <t>Attention</t>
        </is>
      </c>
      <c r="E2" s="2" t="n"/>
      <c r="F2" s="2" t="n"/>
      <c r="G2" s="3">
        <f>IF(E2=0,"",F2/E2)</f>
        <v/>
      </c>
      <c r="H2" s="2" t="n"/>
      <c r="I2" s="2" t="n"/>
      <c r="J2" s="3">
        <f>IF(H2=0,"",I2/H2)</f>
        <v/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4">
        <f>V2*97</f>
        <v/>
      </c>
      <c r="X2" s="2" t="n"/>
    </row>
    <row r="3">
      <c r="A3" s="2" t="inlineStr">
        <is>
          <t>2026-04-07</t>
        </is>
      </c>
      <c r="B3" s="2" t="inlineStr">
        <is>
          <t>Tuesday</t>
        </is>
      </c>
      <c r="C3" s="2" t="n">
        <v>1</v>
      </c>
      <c r="D3" s="2" t="inlineStr">
        <is>
          <t>Attention</t>
        </is>
      </c>
      <c r="E3" s="2" t="n"/>
      <c r="F3" s="2" t="n"/>
      <c r="G3" s="3">
        <f>IF(E3=0,"",F3/E3)</f>
        <v/>
      </c>
      <c r="H3" s="2" t="n"/>
      <c r="I3" s="2" t="n"/>
      <c r="J3" s="3">
        <f>IF(H3=0,"",I3/H3)</f>
        <v/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4">
        <f>V3*97</f>
        <v/>
      </c>
      <c r="X3" s="2" t="n"/>
    </row>
    <row r="4">
      <c r="A4" s="2" t="inlineStr">
        <is>
          <t>2026-04-08</t>
        </is>
      </c>
      <c r="B4" s="2" t="inlineStr">
        <is>
          <t>Wednesday</t>
        </is>
      </c>
      <c r="C4" s="2" t="n">
        <v>1</v>
      </c>
      <c r="D4" s="2" t="inlineStr">
        <is>
          <t>Attention</t>
        </is>
      </c>
      <c r="E4" s="2" t="n"/>
      <c r="F4" s="2" t="n"/>
      <c r="G4" s="3">
        <f>IF(E4=0,"",F4/E4)</f>
        <v/>
      </c>
      <c r="H4" s="2" t="n"/>
      <c r="I4" s="2" t="n"/>
      <c r="J4" s="3">
        <f>IF(H4=0,"",I4/H4)</f>
        <v/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4">
        <f>V4*97</f>
        <v/>
      </c>
      <c r="X4" s="2" t="n"/>
    </row>
    <row r="5">
      <c r="A5" s="2" t="inlineStr">
        <is>
          <t>2026-04-09</t>
        </is>
      </c>
      <c r="B5" s="2" t="inlineStr">
        <is>
          <t>Thursday</t>
        </is>
      </c>
      <c r="C5" s="2" t="n">
        <v>1</v>
      </c>
      <c r="D5" s="2" t="inlineStr">
        <is>
          <t>Attention</t>
        </is>
      </c>
      <c r="E5" s="2" t="n"/>
      <c r="F5" s="2" t="n"/>
      <c r="G5" s="3">
        <f>IF(E5=0,"",F5/E5)</f>
        <v/>
      </c>
      <c r="H5" s="2" t="n"/>
      <c r="I5" s="2" t="n"/>
      <c r="J5" s="3">
        <f>IF(H5=0,"",I5/H5)</f>
        <v/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4">
        <f>V5*97</f>
        <v/>
      </c>
      <c r="X5" s="2" t="n"/>
    </row>
    <row r="6">
      <c r="A6" s="2" t="inlineStr">
        <is>
          <t>2026-04-10</t>
        </is>
      </c>
      <c r="B6" s="2" t="inlineStr">
        <is>
          <t>Friday</t>
        </is>
      </c>
      <c r="C6" s="2" t="n">
        <v>1</v>
      </c>
      <c r="D6" s="2" t="inlineStr">
        <is>
          <t>Attention</t>
        </is>
      </c>
      <c r="E6" s="2" t="n"/>
      <c r="F6" s="2" t="n"/>
      <c r="G6" s="3">
        <f>IF(E6=0,"",F6/E6)</f>
        <v/>
      </c>
      <c r="H6" s="2" t="n"/>
      <c r="I6" s="2" t="n"/>
      <c r="J6" s="3">
        <f>IF(H6=0,"",I6/H6)</f>
        <v/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4">
        <f>V6*97</f>
        <v/>
      </c>
      <c r="X6" s="2" t="n"/>
    </row>
    <row r="7">
      <c r="A7" s="2" t="inlineStr">
        <is>
          <t>2026-04-11</t>
        </is>
      </c>
      <c r="B7" s="2" t="inlineStr">
        <is>
          <t>Saturday</t>
        </is>
      </c>
      <c r="C7" s="2" t="n">
        <v>1</v>
      </c>
      <c r="D7" s="2" t="inlineStr">
        <is>
          <t>Attention</t>
        </is>
      </c>
      <c r="E7" s="2" t="n"/>
      <c r="F7" s="2" t="n"/>
      <c r="G7" s="3">
        <f>IF(E7=0,"",F7/E7)</f>
        <v/>
      </c>
      <c r="H7" s="2" t="n"/>
      <c r="I7" s="2" t="n"/>
      <c r="J7" s="3">
        <f>IF(H7=0,"",I7/H7)</f>
        <v/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4">
        <f>V7*97</f>
        <v/>
      </c>
      <c r="X7" s="2" t="n"/>
    </row>
    <row r="8">
      <c r="A8" s="2" t="inlineStr">
        <is>
          <t>2026-04-12</t>
        </is>
      </c>
      <c r="B8" s="2" t="inlineStr">
        <is>
          <t>Sunday</t>
        </is>
      </c>
      <c r="C8" s="2" t="n">
        <v>1</v>
      </c>
      <c r="D8" s="2" t="inlineStr">
        <is>
          <t>Attention</t>
        </is>
      </c>
      <c r="E8" s="2" t="n"/>
      <c r="F8" s="2" t="n"/>
      <c r="G8" s="3">
        <f>IF(E8=0,"",F8/E8)</f>
        <v/>
      </c>
      <c r="H8" s="2" t="n"/>
      <c r="I8" s="2" t="n"/>
      <c r="J8" s="3">
        <f>IF(H8=0,"",I8/H8)</f>
        <v/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4">
        <f>V8*97</f>
        <v/>
      </c>
      <c r="X8" s="2" t="n"/>
    </row>
    <row r="9">
      <c r="A9" s="2" t="inlineStr">
        <is>
          <t>2026-04-13</t>
        </is>
      </c>
      <c r="B9" s="2" t="inlineStr">
        <is>
          <t>Monday</t>
        </is>
      </c>
      <c r="C9" s="2" t="n">
        <v>2</v>
      </c>
      <c r="D9" s="2" t="inlineStr">
        <is>
          <t>Attention</t>
        </is>
      </c>
      <c r="E9" s="2" t="n"/>
      <c r="F9" s="2" t="n"/>
      <c r="G9" s="3">
        <f>IF(E9=0,"",F9/E9)</f>
        <v/>
      </c>
      <c r="H9" s="2" t="n"/>
      <c r="I9" s="2" t="n"/>
      <c r="J9" s="3">
        <f>IF(H9=0,"",I9/H9)</f>
        <v/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4">
        <f>V9*97</f>
        <v/>
      </c>
      <c r="X9" s="2" t="n"/>
    </row>
    <row r="10">
      <c r="A10" s="2" t="inlineStr">
        <is>
          <t>2026-04-14</t>
        </is>
      </c>
      <c r="B10" s="2" t="inlineStr">
        <is>
          <t>Tuesday</t>
        </is>
      </c>
      <c r="C10" s="2" t="n">
        <v>2</v>
      </c>
      <c r="D10" s="2" t="inlineStr">
        <is>
          <t>Attention</t>
        </is>
      </c>
      <c r="E10" s="2" t="n"/>
      <c r="F10" s="2" t="n"/>
      <c r="G10" s="3">
        <f>IF(E10=0,"",F10/E10)</f>
        <v/>
      </c>
      <c r="H10" s="2" t="n"/>
      <c r="I10" s="2" t="n"/>
      <c r="J10" s="3">
        <f>IF(H10=0,"",I10/H10)</f>
        <v/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4">
        <f>V10*97</f>
        <v/>
      </c>
      <c r="X10" s="2" t="n"/>
    </row>
    <row r="11">
      <c r="A11" s="2" t="inlineStr">
        <is>
          <t>2026-04-15</t>
        </is>
      </c>
      <c r="B11" s="2" t="inlineStr">
        <is>
          <t>Wednesday</t>
        </is>
      </c>
      <c r="C11" s="2" t="n">
        <v>2</v>
      </c>
      <c r="D11" s="2" t="inlineStr">
        <is>
          <t>Attention</t>
        </is>
      </c>
      <c r="E11" s="2" t="n"/>
      <c r="F11" s="2" t="n"/>
      <c r="G11" s="3">
        <f>IF(E11=0,"",F11/E11)</f>
        <v/>
      </c>
      <c r="H11" s="2" t="n"/>
      <c r="I11" s="2" t="n"/>
      <c r="J11" s="3">
        <f>IF(H11=0,"",I11/H11)</f>
        <v/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4">
        <f>V11*97</f>
        <v/>
      </c>
      <c r="X11" s="2" t="n"/>
    </row>
    <row r="12">
      <c r="A12" s="2" t="inlineStr">
        <is>
          <t>2026-04-16</t>
        </is>
      </c>
      <c r="B12" s="2" t="inlineStr">
        <is>
          <t>Thursday</t>
        </is>
      </c>
      <c r="C12" s="2" t="n">
        <v>2</v>
      </c>
      <c r="D12" s="2" t="inlineStr">
        <is>
          <t>Attention</t>
        </is>
      </c>
      <c r="E12" s="2" t="n"/>
      <c r="F12" s="2" t="n"/>
      <c r="G12" s="3">
        <f>IF(E12=0,"",F12/E12)</f>
        <v/>
      </c>
      <c r="H12" s="2" t="n"/>
      <c r="I12" s="2" t="n"/>
      <c r="J12" s="3">
        <f>IF(H12=0,"",I12/H12)</f>
        <v/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4">
        <f>V12*97</f>
        <v/>
      </c>
      <c r="X12" s="2" t="n"/>
    </row>
    <row r="13">
      <c r="A13" s="2" t="inlineStr">
        <is>
          <t>2026-04-17</t>
        </is>
      </c>
      <c r="B13" s="2" t="inlineStr">
        <is>
          <t>Friday</t>
        </is>
      </c>
      <c r="C13" s="2" t="n">
        <v>2</v>
      </c>
      <c r="D13" s="2" t="inlineStr">
        <is>
          <t>Attention</t>
        </is>
      </c>
      <c r="E13" s="2" t="n"/>
      <c r="F13" s="2" t="n"/>
      <c r="G13" s="3">
        <f>IF(E13=0,"",F13/E13)</f>
        <v/>
      </c>
      <c r="H13" s="2" t="n"/>
      <c r="I13" s="2" t="n"/>
      <c r="J13" s="3">
        <f>IF(H13=0,"",I13/H13)</f>
        <v/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4">
        <f>V13*97</f>
        <v/>
      </c>
      <c r="X13" s="2" t="n"/>
    </row>
    <row r="14">
      <c r="A14" s="2" t="inlineStr">
        <is>
          <t>2026-04-18</t>
        </is>
      </c>
      <c r="B14" s="2" t="inlineStr">
        <is>
          <t>Saturday</t>
        </is>
      </c>
      <c r="C14" s="2" t="n">
        <v>2</v>
      </c>
      <c r="D14" s="2" t="inlineStr">
        <is>
          <t>Attention</t>
        </is>
      </c>
      <c r="E14" s="2" t="n"/>
      <c r="F14" s="2" t="n"/>
      <c r="G14" s="3">
        <f>IF(E14=0,"",F14/E14)</f>
        <v/>
      </c>
      <c r="H14" s="2" t="n"/>
      <c r="I14" s="2" t="n"/>
      <c r="J14" s="3">
        <f>IF(H14=0,"",I14/H14)</f>
        <v/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4">
        <f>V14*97</f>
        <v/>
      </c>
      <c r="X14" s="2" t="n"/>
    </row>
    <row r="15">
      <c r="A15" s="2" t="inlineStr">
        <is>
          <t>2026-04-19</t>
        </is>
      </c>
      <c r="B15" s="2" t="inlineStr">
        <is>
          <t>Sunday</t>
        </is>
      </c>
      <c r="C15" s="2" t="n">
        <v>2</v>
      </c>
      <c r="D15" s="2" t="inlineStr">
        <is>
          <t>Attention</t>
        </is>
      </c>
      <c r="E15" s="2" t="n"/>
      <c r="F15" s="2" t="n"/>
      <c r="G15" s="3">
        <f>IF(E15=0,"",F15/E15)</f>
        <v/>
      </c>
      <c r="H15" s="2" t="n"/>
      <c r="I15" s="2" t="n"/>
      <c r="J15" s="3">
        <f>IF(H15=0,"",I15/H15)</f>
        <v/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4">
        <f>V15*97</f>
        <v/>
      </c>
      <c r="X15" s="2" t="n"/>
    </row>
    <row r="16">
      <c r="A16" s="2" t="inlineStr">
        <is>
          <t>2026-04-20</t>
        </is>
      </c>
      <c r="B16" s="2" t="inlineStr">
        <is>
          <t>Monday</t>
        </is>
      </c>
      <c r="C16" s="2" t="n">
        <v>3</v>
      </c>
      <c r="D16" s="2" t="inlineStr">
        <is>
          <t>Interest</t>
        </is>
      </c>
      <c r="E16" s="2" t="n"/>
      <c r="F16" s="2" t="n"/>
      <c r="G16" s="3">
        <f>IF(E16=0,"",F16/E16)</f>
        <v/>
      </c>
      <c r="H16" s="2" t="n"/>
      <c r="I16" s="2" t="n"/>
      <c r="J16" s="3">
        <f>IF(H16=0,"",I16/H16)</f>
        <v/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4">
        <f>V16*97</f>
        <v/>
      </c>
      <c r="X16" s="2" t="n"/>
    </row>
    <row r="17">
      <c r="A17" s="2" t="inlineStr">
        <is>
          <t>2026-04-21</t>
        </is>
      </c>
      <c r="B17" s="2" t="inlineStr">
        <is>
          <t>Tuesday</t>
        </is>
      </c>
      <c r="C17" s="2" t="n">
        <v>3</v>
      </c>
      <c r="D17" s="2" t="inlineStr">
        <is>
          <t>Interest</t>
        </is>
      </c>
      <c r="E17" s="2" t="n"/>
      <c r="F17" s="2" t="n"/>
      <c r="G17" s="3">
        <f>IF(E17=0,"",F17/E17)</f>
        <v/>
      </c>
      <c r="H17" s="2" t="n"/>
      <c r="I17" s="2" t="n"/>
      <c r="J17" s="3">
        <f>IF(H17=0,"",I17/H17)</f>
        <v/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4">
        <f>V17*97</f>
        <v/>
      </c>
      <c r="X17" s="2" t="n"/>
    </row>
    <row r="18">
      <c r="A18" s="2" t="inlineStr">
        <is>
          <t>2026-04-22</t>
        </is>
      </c>
      <c r="B18" s="2" t="inlineStr">
        <is>
          <t>Wednesday</t>
        </is>
      </c>
      <c r="C18" s="2" t="n">
        <v>3</v>
      </c>
      <c r="D18" s="2" t="inlineStr">
        <is>
          <t>Interest</t>
        </is>
      </c>
      <c r="E18" s="2" t="n"/>
      <c r="F18" s="2" t="n"/>
      <c r="G18" s="3">
        <f>IF(E18=0,"",F18/E18)</f>
        <v/>
      </c>
      <c r="H18" s="2" t="n"/>
      <c r="I18" s="2" t="n"/>
      <c r="J18" s="3">
        <f>IF(H18=0,"",I18/H18)</f>
        <v/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4">
        <f>V18*97</f>
        <v/>
      </c>
      <c r="X18" s="2" t="n"/>
    </row>
    <row r="19">
      <c r="A19" s="2" t="inlineStr">
        <is>
          <t>2026-04-23</t>
        </is>
      </c>
      <c r="B19" s="2" t="inlineStr">
        <is>
          <t>Thursday</t>
        </is>
      </c>
      <c r="C19" s="2" t="n">
        <v>3</v>
      </c>
      <c r="D19" s="2" t="inlineStr">
        <is>
          <t>Interest</t>
        </is>
      </c>
      <c r="E19" s="2" t="n"/>
      <c r="F19" s="2" t="n"/>
      <c r="G19" s="3">
        <f>IF(E19=0,"",F19/E19)</f>
        <v/>
      </c>
      <c r="H19" s="2" t="n"/>
      <c r="I19" s="2" t="n"/>
      <c r="J19" s="3">
        <f>IF(H19=0,"",I19/H19)</f>
        <v/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4">
        <f>V19*97</f>
        <v/>
      </c>
      <c r="X19" s="2" t="n"/>
    </row>
    <row r="20">
      <c r="A20" s="2" t="inlineStr">
        <is>
          <t>2026-04-24</t>
        </is>
      </c>
      <c r="B20" s="2" t="inlineStr">
        <is>
          <t>Friday</t>
        </is>
      </c>
      <c r="C20" s="2" t="n">
        <v>3</v>
      </c>
      <c r="D20" s="2" t="inlineStr">
        <is>
          <t>Interest</t>
        </is>
      </c>
      <c r="E20" s="2" t="n"/>
      <c r="F20" s="2" t="n"/>
      <c r="G20" s="3">
        <f>IF(E20=0,"",F20/E20)</f>
        <v/>
      </c>
      <c r="H20" s="2" t="n"/>
      <c r="I20" s="2" t="n"/>
      <c r="J20" s="3">
        <f>IF(H20=0,"",I20/H20)</f>
        <v/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4">
        <f>V20*97</f>
        <v/>
      </c>
      <c r="X20" s="2" t="n"/>
    </row>
    <row r="21">
      <c r="A21" s="2" t="inlineStr">
        <is>
          <t>2026-04-25</t>
        </is>
      </c>
      <c r="B21" s="2" t="inlineStr">
        <is>
          <t>Saturday</t>
        </is>
      </c>
      <c r="C21" s="2" t="n">
        <v>3</v>
      </c>
      <c r="D21" s="2" t="inlineStr">
        <is>
          <t>Interest</t>
        </is>
      </c>
      <c r="E21" s="2" t="n"/>
      <c r="F21" s="2" t="n"/>
      <c r="G21" s="3">
        <f>IF(E21=0,"",F21/E21)</f>
        <v/>
      </c>
      <c r="H21" s="2" t="n"/>
      <c r="I21" s="2" t="n"/>
      <c r="J21" s="3">
        <f>IF(H21=0,"",I21/H21)</f>
        <v/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4">
        <f>V21*97</f>
        <v/>
      </c>
      <c r="X21" s="2" t="n"/>
    </row>
    <row r="22">
      <c r="A22" s="2" t="inlineStr">
        <is>
          <t>2026-04-26</t>
        </is>
      </c>
      <c r="B22" s="2" t="inlineStr">
        <is>
          <t>Sunday</t>
        </is>
      </c>
      <c r="C22" s="2" t="n">
        <v>3</v>
      </c>
      <c r="D22" s="2" t="inlineStr">
        <is>
          <t>Interest</t>
        </is>
      </c>
      <c r="E22" s="2" t="n"/>
      <c r="F22" s="2" t="n"/>
      <c r="G22" s="3">
        <f>IF(E22=0,"",F22/E22)</f>
        <v/>
      </c>
      <c r="H22" s="2" t="n"/>
      <c r="I22" s="2" t="n"/>
      <c r="J22" s="3">
        <f>IF(H22=0,"",I22/H22)</f>
        <v/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4">
        <f>V22*97</f>
        <v/>
      </c>
      <c r="X22" s="2" t="n"/>
    </row>
    <row r="23">
      <c r="A23" s="2" t="inlineStr">
        <is>
          <t>2026-04-27</t>
        </is>
      </c>
      <c r="B23" s="2" t="inlineStr">
        <is>
          <t>Monday</t>
        </is>
      </c>
      <c r="C23" s="2" t="n">
        <v>4</v>
      </c>
      <c r="D23" s="2" t="inlineStr">
        <is>
          <t>Interest</t>
        </is>
      </c>
      <c r="E23" s="2" t="n"/>
      <c r="F23" s="2" t="n"/>
      <c r="G23" s="3">
        <f>IF(E23=0,"",F23/E23)</f>
        <v/>
      </c>
      <c r="H23" s="2" t="n"/>
      <c r="I23" s="2" t="n"/>
      <c r="J23" s="3">
        <f>IF(H23=0,"",I23/H23)</f>
        <v/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4">
        <f>V23*97</f>
        <v/>
      </c>
      <c r="X23" s="2" t="n"/>
    </row>
    <row r="24">
      <c r="A24" s="2" t="inlineStr">
        <is>
          <t>2026-04-28</t>
        </is>
      </c>
      <c r="B24" s="2" t="inlineStr">
        <is>
          <t>Tuesday</t>
        </is>
      </c>
      <c r="C24" s="2" t="n">
        <v>4</v>
      </c>
      <c r="D24" s="2" t="inlineStr">
        <is>
          <t>Interest</t>
        </is>
      </c>
      <c r="E24" s="2" t="n"/>
      <c r="F24" s="2" t="n"/>
      <c r="G24" s="3">
        <f>IF(E24=0,"",F24/E24)</f>
        <v/>
      </c>
      <c r="H24" s="2" t="n"/>
      <c r="I24" s="2" t="n"/>
      <c r="J24" s="3">
        <f>IF(H24=0,"",I24/H24)</f>
        <v/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4">
        <f>V24*97</f>
        <v/>
      </c>
      <c r="X24" s="2" t="n"/>
    </row>
    <row r="25">
      <c r="A25" s="2" t="inlineStr">
        <is>
          <t>2026-04-29</t>
        </is>
      </c>
      <c r="B25" s="2" t="inlineStr">
        <is>
          <t>Wednesday</t>
        </is>
      </c>
      <c r="C25" s="2" t="n">
        <v>4</v>
      </c>
      <c r="D25" s="2" t="inlineStr">
        <is>
          <t>Interest</t>
        </is>
      </c>
      <c r="E25" s="2" t="n"/>
      <c r="F25" s="2" t="n"/>
      <c r="G25" s="3">
        <f>IF(E25=0,"",F25/E25)</f>
        <v/>
      </c>
      <c r="H25" s="2" t="n"/>
      <c r="I25" s="2" t="n"/>
      <c r="J25" s="3">
        <f>IF(H25=0,"",I25/H25)</f>
        <v/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4">
        <f>V25*97</f>
        <v/>
      </c>
      <c r="X25" s="2" t="n"/>
    </row>
    <row r="26">
      <c r="A26" s="2" t="inlineStr">
        <is>
          <t>2026-04-30</t>
        </is>
      </c>
      <c r="B26" s="2" t="inlineStr">
        <is>
          <t>Thursday</t>
        </is>
      </c>
      <c r="C26" s="2" t="n">
        <v>4</v>
      </c>
      <c r="D26" s="2" t="inlineStr">
        <is>
          <t>Interest</t>
        </is>
      </c>
      <c r="E26" s="2" t="n"/>
      <c r="F26" s="2" t="n"/>
      <c r="G26" s="3">
        <f>IF(E26=0,"",F26/E26)</f>
        <v/>
      </c>
      <c r="H26" s="2" t="n"/>
      <c r="I26" s="2" t="n"/>
      <c r="J26" s="3">
        <f>IF(H26=0,"",I26/H26)</f>
        <v/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4">
        <f>V26*97</f>
        <v/>
      </c>
      <c r="X26" s="2" t="n"/>
    </row>
    <row r="27">
      <c r="A27" s="2" t="inlineStr">
        <is>
          <t>2026-05-01</t>
        </is>
      </c>
      <c r="B27" s="2" t="inlineStr">
        <is>
          <t>Friday</t>
        </is>
      </c>
      <c r="C27" s="2" t="n">
        <v>4</v>
      </c>
      <c r="D27" s="2" t="inlineStr">
        <is>
          <t>Interest</t>
        </is>
      </c>
      <c r="E27" s="2" t="n"/>
      <c r="F27" s="2" t="n"/>
      <c r="G27" s="3">
        <f>IF(E27=0,"",F27/E27)</f>
        <v/>
      </c>
      <c r="H27" s="2" t="n"/>
      <c r="I27" s="2" t="n"/>
      <c r="J27" s="3">
        <f>IF(H27=0,"",I27/H27)</f>
        <v/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4">
        <f>V27*97</f>
        <v/>
      </c>
      <c r="X27" s="2" t="n"/>
    </row>
    <row r="28">
      <c r="A28" s="2" t="inlineStr">
        <is>
          <t>2026-05-02</t>
        </is>
      </c>
      <c r="B28" s="2" t="inlineStr">
        <is>
          <t>Saturday</t>
        </is>
      </c>
      <c r="C28" s="2" t="n">
        <v>4</v>
      </c>
      <c r="D28" s="2" t="inlineStr">
        <is>
          <t>Interest</t>
        </is>
      </c>
      <c r="E28" s="2" t="n"/>
      <c r="F28" s="2" t="n"/>
      <c r="G28" s="3">
        <f>IF(E28=0,"",F28/E28)</f>
        <v/>
      </c>
      <c r="H28" s="2" t="n"/>
      <c r="I28" s="2" t="n"/>
      <c r="J28" s="3">
        <f>IF(H28=0,"",I28/H28)</f>
        <v/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4">
        <f>V28*97</f>
        <v/>
      </c>
      <c r="X28" s="2" t="n"/>
    </row>
    <row r="29">
      <c r="A29" s="2" t="inlineStr">
        <is>
          <t>2026-05-03</t>
        </is>
      </c>
      <c r="B29" s="2" t="inlineStr">
        <is>
          <t>Sunday</t>
        </is>
      </c>
      <c r="C29" s="2" t="n">
        <v>4</v>
      </c>
      <c r="D29" s="2" t="inlineStr">
        <is>
          <t>Interest</t>
        </is>
      </c>
      <c r="E29" s="2" t="n"/>
      <c r="F29" s="2" t="n"/>
      <c r="G29" s="3">
        <f>IF(E29=0,"",F29/E29)</f>
        <v/>
      </c>
      <c r="H29" s="2" t="n"/>
      <c r="I29" s="2" t="n"/>
      <c r="J29" s="3">
        <f>IF(H29=0,"",I29/H29)</f>
        <v/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4">
        <f>V29*97</f>
        <v/>
      </c>
      <c r="X29" s="2" t="n"/>
    </row>
    <row r="30">
      <c r="A30" s="2" t="inlineStr">
        <is>
          <t>2026-05-04</t>
        </is>
      </c>
      <c r="B30" s="2" t="inlineStr">
        <is>
          <t>Monday</t>
        </is>
      </c>
      <c r="C30" s="2" t="n">
        <v>5</v>
      </c>
      <c r="D30" s="2" t="inlineStr">
        <is>
          <t>Desire</t>
        </is>
      </c>
      <c r="E30" s="2" t="n"/>
      <c r="F30" s="2" t="n"/>
      <c r="G30" s="3">
        <f>IF(E30=0,"",F30/E30)</f>
        <v/>
      </c>
      <c r="H30" s="2" t="n"/>
      <c r="I30" s="2" t="n"/>
      <c r="J30" s="3">
        <f>IF(H30=0,"",I30/H30)</f>
        <v/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4">
        <f>V30*97</f>
        <v/>
      </c>
      <c r="X30" s="2" t="n"/>
    </row>
    <row r="31">
      <c r="A31" s="2" t="inlineStr">
        <is>
          <t>2026-05-05</t>
        </is>
      </c>
      <c r="B31" s="2" t="inlineStr">
        <is>
          <t>Tuesday</t>
        </is>
      </c>
      <c r="C31" s="2" t="n">
        <v>5</v>
      </c>
      <c r="D31" s="2" t="inlineStr">
        <is>
          <t>Desire</t>
        </is>
      </c>
      <c r="E31" s="2" t="n"/>
      <c r="F31" s="2" t="n"/>
      <c r="G31" s="3">
        <f>IF(E31=0,"",F31/E31)</f>
        <v/>
      </c>
      <c r="H31" s="2" t="n"/>
      <c r="I31" s="2" t="n"/>
      <c r="J31" s="3">
        <f>IF(H31=0,"",I31/H31)</f>
        <v/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4">
        <f>V31*97</f>
        <v/>
      </c>
      <c r="X31" s="2" t="n"/>
    </row>
    <row r="32">
      <c r="A32" s="2" t="inlineStr">
        <is>
          <t>2026-05-06</t>
        </is>
      </c>
      <c r="B32" s="2" t="inlineStr">
        <is>
          <t>Wednesday</t>
        </is>
      </c>
      <c r="C32" s="2" t="n">
        <v>5</v>
      </c>
      <c r="D32" s="2" t="inlineStr">
        <is>
          <t>Desire</t>
        </is>
      </c>
      <c r="E32" s="2" t="n"/>
      <c r="F32" s="2" t="n"/>
      <c r="G32" s="3">
        <f>IF(E32=0,"",F32/E32)</f>
        <v/>
      </c>
      <c r="H32" s="2" t="n"/>
      <c r="I32" s="2" t="n"/>
      <c r="J32" s="3">
        <f>IF(H32=0,"",I32/H32)</f>
        <v/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4">
        <f>V32*97</f>
        <v/>
      </c>
      <c r="X32" s="2" t="n"/>
    </row>
    <row r="33">
      <c r="A33" s="2" t="inlineStr">
        <is>
          <t>2026-05-07</t>
        </is>
      </c>
      <c r="B33" s="2" t="inlineStr">
        <is>
          <t>Thursday</t>
        </is>
      </c>
      <c r="C33" s="2" t="n">
        <v>5</v>
      </c>
      <c r="D33" s="2" t="inlineStr">
        <is>
          <t>Desire</t>
        </is>
      </c>
      <c r="E33" s="2" t="n"/>
      <c r="F33" s="2" t="n"/>
      <c r="G33" s="3">
        <f>IF(E33=0,"",F33/E33)</f>
        <v/>
      </c>
      <c r="H33" s="2" t="n"/>
      <c r="I33" s="2" t="n"/>
      <c r="J33" s="3">
        <f>IF(H33=0,"",I33/H33)</f>
        <v/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4">
        <f>V33*97</f>
        <v/>
      </c>
      <c r="X33" s="2" t="n"/>
    </row>
    <row r="34">
      <c r="A34" s="2" t="inlineStr">
        <is>
          <t>2026-05-08</t>
        </is>
      </c>
      <c r="B34" s="2" t="inlineStr">
        <is>
          <t>Friday</t>
        </is>
      </c>
      <c r="C34" s="2" t="n">
        <v>5</v>
      </c>
      <c r="D34" s="2" t="inlineStr">
        <is>
          <t>Desire</t>
        </is>
      </c>
      <c r="E34" s="2" t="n"/>
      <c r="F34" s="2" t="n"/>
      <c r="G34" s="3">
        <f>IF(E34=0,"",F34/E34)</f>
        <v/>
      </c>
      <c r="H34" s="2" t="n"/>
      <c r="I34" s="2" t="n"/>
      <c r="J34" s="3">
        <f>IF(H34=0,"",I34/H34)</f>
        <v/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4">
        <f>V34*97</f>
        <v/>
      </c>
      <c r="X34" s="2" t="n"/>
    </row>
    <row r="35">
      <c r="A35" s="2" t="inlineStr">
        <is>
          <t>2026-05-09</t>
        </is>
      </c>
      <c r="B35" s="2" t="inlineStr">
        <is>
          <t>Saturday</t>
        </is>
      </c>
      <c r="C35" s="2" t="n">
        <v>5</v>
      </c>
      <c r="D35" s="2" t="inlineStr">
        <is>
          <t>Desire</t>
        </is>
      </c>
      <c r="E35" s="2" t="n"/>
      <c r="F35" s="2" t="n"/>
      <c r="G35" s="3">
        <f>IF(E35=0,"",F35/E35)</f>
        <v/>
      </c>
      <c r="H35" s="2" t="n"/>
      <c r="I35" s="2" t="n"/>
      <c r="J35" s="3">
        <f>IF(H35=0,"",I35/H35)</f>
        <v/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4">
        <f>V35*97</f>
        <v/>
      </c>
      <c r="X35" s="2" t="n"/>
    </row>
    <row r="36">
      <c r="A36" s="2" t="inlineStr">
        <is>
          <t>2026-05-10</t>
        </is>
      </c>
      <c r="B36" s="2" t="inlineStr">
        <is>
          <t>Sunday</t>
        </is>
      </c>
      <c r="C36" s="2" t="n">
        <v>5</v>
      </c>
      <c r="D36" s="2" t="inlineStr">
        <is>
          <t>Desire</t>
        </is>
      </c>
      <c r="E36" s="2" t="n"/>
      <c r="F36" s="2" t="n"/>
      <c r="G36" s="3">
        <f>IF(E36=0,"",F36/E36)</f>
        <v/>
      </c>
      <c r="H36" s="2" t="n"/>
      <c r="I36" s="2" t="n"/>
      <c r="J36" s="3">
        <f>IF(H36=0,"",I36/H36)</f>
        <v/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4">
        <f>V36*97</f>
        <v/>
      </c>
      <c r="X36" s="2" t="n"/>
    </row>
    <row r="37">
      <c r="A37" s="2" t="inlineStr">
        <is>
          <t>2026-05-11</t>
        </is>
      </c>
      <c r="B37" s="2" t="inlineStr">
        <is>
          <t>Monday</t>
        </is>
      </c>
      <c r="C37" s="2" t="n">
        <v>6</v>
      </c>
      <c r="D37" s="2" t="inlineStr">
        <is>
          <t>Action</t>
        </is>
      </c>
      <c r="E37" s="2" t="n"/>
      <c r="F37" s="2" t="n"/>
      <c r="G37" s="3">
        <f>IF(E37=0,"",F37/E37)</f>
        <v/>
      </c>
      <c r="H37" s="2" t="n"/>
      <c r="I37" s="2" t="n"/>
      <c r="J37" s="3">
        <f>IF(H37=0,"",I37/H37)</f>
        <v/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4">
        <f>V37*97</f>
        <v/>
      </c>
      <c r="X37" s="2" t="n"/>
    </row>
    <row r="38">
      <c r="A38" s="2" t="inlineStr">
        <is>
          <t>2026-05-12</t>
        </is>
      </c>
      <c r="B38" s="2" t="inlineStr">
        <is>
          <t>Tuesday</t>
        </is>
      </c>
      <c r="C38" s="2" t="n">
        <v>6</v>
      </c>
      <c r="D38" s="2" t="inlineStr">
        <is>
          <t>Action</t>
        </is>
      </c>
      <c r="E38" s="2" t="n"/>
      <c r="F38" s="2" t="n"/>
      <c r="G38" s="3">
        <f>IF(E38=0,"",F38/E38)</f>
        <v/>
      </c>
      <c r="H38" s="2" t="n"/>
      <c r="I38" s="2" t="n"/>
      <c r="J38" s="3">
        <f>IF(H38=0,"",I38/H38)</f>
        <v/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4">
        <f>V38*97</f>
        <v/>
      </c>
      <c r="X38" s="2" t="n"/>
    </row>
    <row r="39">
      <c r="A39" s="2" t="inlineStr">
        <is>
          <t>2026-05-13</t>
        </is>
      </c>
      <c r="B39" s="2" t="inlineStr">
        <is>
          <t>Wednesday</t>
        </is>
      </c>
      <c r="C39" s="2" t="n">
        <v>6</v>
      </c>
      <c r="D39" s="2" t="inlineStr">
        <is>
          <t>Action</t>
        </is>
      </c>
      <c r="E39" s="2" t="n"/>
      <c r="F39" s="2" t="n"/>
      <c r="G39" s="3">
        <f>IF(E39=0,"",F39/E39)</f>
        <v/>
      </c>
      <c r="H39" s="2" t="n"/>
      <c r="I39" s="2" t="n"/>
      <c r="J39" s="3">
        <f>IF(H39=0,"",I39/H39)</f>
        <v/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4">
        <f>V39*97</f>
        <v/>
      </c>
      <c r="X39" s="2" t="n"/>
    </row>
    <row r="40">
      <c r="A40" s="2" t="inlineStr">
        <is>
          <t>2026-05-14</t>
        </is>
      </c>
      <c r="B40" s="2" t="inlineStr">
        <is>
          <t>Thursday</t>
        </is>
      </c>
      <c r="C40" s="2" t="n">
        <v>6</v>
      </c>
      <c r="D40" s="2" t="inlineStr">
        <is>
          <t>Action</t>
        </is>
      </c>
      <c r="E40" s="2" t="n"/>
      <c r="F40" s="2" t="n"/>
      <c r="G40" s="3">
        <f>IF(E40=0,"",F40/E40)</f>
        <v/>
      </c>
      <c r="H40" s="2" t="n"/>
      <c r="I40" s="2" t="n"/>
      <c r="J40" s="3">
        <f>IF(H40=0,"",I40/H40)</f>
        <v/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4">
        <f>V40*97</f>
        <v/>
      </c>
      <c r="X40" s="2" t="n"/>
    </row>
    <row r="41">
      <c r="A41" s="2" t="inlineStr">
        <is>
          <t>2026-05-15</t>
        </is>
      </c>
      <c r="B41" s="2" t="inlineStr">
        <is>
          <t>Friday</t>
        </is>
      </c>
      <c r="C41" s="2" t="n">
        <v>6</v>
      </c>
      <c r="D41" s="2" t="inlineStr">
        <is>
          <t>Action</t>
        </is>
      </c>
      <c r="E41" s="2" t="n"/>
      <c r="F41" s="2" t="n"/>
      <c r="G41" s="3">
        <f>IF(E41=0,"",F41/E41)</f>
        <v/>
      </c>
      <c r="H41" s="2" t="n"/>
      <c r="I41" s="2" t="n"/>
      <c r="J41" s="3">
        <f>IF(H41=0,"",I41/H41)</f>
        <v/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4">
        <f>V41*97</f>
        <v/>
      </c>
      <c r="X41" s="2" t="n"/>
    </row>
    <row r="42">
      <c r="A42" s="2" t="inlineStr">
        <is>
          <t>2026-05-16</t>
        </is>
      </c>
      <c r="B42" s="2" t="inlineStr">
        <is>
          <t>Saturday</t>
        </is>
      </c>
      <c r="C42" s="2" t="n">
        <v>6</v>
      </c>
      <c r="D42" s="2" t="inlineStr">
        <is>
          <t>Action</t>
        </is>
      </c>
      <c r="E42" s="2" t="n"/>
      <c r="F42" s="2" t="n"/>
      <c r="G42" s="3">
        <f>IF(E42=0,"",F42/E42)</f>
        <v/>
      </c>
      <c r="H42" s="2" t="n"/>
      <c r="I42" s="2" t="n"/>
      <c r="J42" s="3">
        <f>IF(H42=0,"",I42/H42)</f>
        <v/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4">
        <f>V42*97</f>
        <v/>
      </c>
      <c r="X42" s="2" t="n"/>
    </row>
    <row r="43">
      <c r="A43" s="2" t="inlineStr">
        <is>
          <t>2026-05-17</t>
        </is>
      </c>
      <c r="B43" s="2" t="inlineStr">
        <is>
          <t>Sunday</t>
        </is>
      </c>
      <c r="C43" s="2" t="n">
        <v>6</v>
      </c>
      <c r="D43" s="2" t="inlineStr">
        <is>
          <t>Action</t>
        </is>
      </c>
      <c r="E43" s="2" t="n"/>
      <c r="F43" s="2" t="n"/>
      <c r="G43" s="3">
        <f>IF(E43=0,"",F43/E43)</f>
        <v/>
      </c>
      <c r="H43" s="2" t="n"/>
      <c r="I43" s="2" t="n"/>
      <c r="J43" s="3">
        <f>IF(H43=0,"",I43/H43)</f>
        <v/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4">
        <f>V43*97</f>
        <v/>
      </c>
      <c r="X43" s="2" t="n"/>
    </row>
    <row r="44">
      <c r="A44" s="5" t="inlineStr">
        <is>
          <t>TOTALS</t>
        </is>
      </c>
      <c r="B44" s="6" t="n"/>
      <c r="C44" s="6" t="n"/>
      <c r="D44" s="6" t="n"/>
      <c r="E44" s="6">
        <f>SUM(E2:E43)</f>
        <v/>
      </c>
      <c r="F44" s="6">
        <f>SUM(F2:F43)</f>
        <v/>
      </c>
      <c r="G44" s="7">
        <f>IF(E44=0,"",F44/E44)</f>
        <v/>
      </c>
      <c r="H44" s="6">
        <f>SUM(H2:H43)</f>
        <v/>
      </c>
      <c r="I44" s="6">
        <f>SUM(I2:I43)</f>
        <v/>
      </c>
      <c r="J44" s="7">
        <f>IF(H44=0,"",I44/H44)</f>
        <v/>
      </c>
      <c r="K44" s="6">
        <f>SUM(K2:K43)</f>
        <v/>
      </c>
      <c r="L44" s="6">
        <f>SUM(L2:L43)</f>
        <v/>
      </c>
      <c r="M44" s="6">
        <f>SUM(M2:M43)</f>
        <v/>
      </c>
      <c r="N44" s="6">
        <f>SUM(N2:N43)</f>
        <v/>
      </c>
      <c r="O44" s="6">
        <f>SUM(O2:O43)</f>
        <v/>
      </c>
      <c r="P44" s="6">
        <f>SUM(P2:P43)</f>
        <v/>
      </c>
      <c r="Q44" s="6">
        <f>SUM(Q2:Q43)</f>
        <v/>
      </c>
      <c r="R44" s="6">
        <f>SUM(R2:R43)</f>
        <v/>
      </c>
      <c r="S44" s="6">
        <f>SUM(S2:S43)</f>
        <v/>
      </c>
      <c r="T44" s="6">
        <f>SUM(T2:T43)</f>
        <v/>
      </c>
      <c r="U44" s="6">
        <f>SUM(U2:U43)</f>
        <v/>
      </c>
      <c r="V44" s="6">
        <f>SUM(V2:V43)</f>
        <v/>
      </c>
      <c r="W44" s="8">
        <f>SUM(W2:W43)</f>
        <v/>
      </c>
      <c r="X4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10" customWidth="1" min="12" max="12"/>
    <col width="12" customWidth="1" min="13" max="13"/>
    <col width="12" customWidth="1" min="14" max="14"/>
    <col width="25" customWidth="1" min="15" max="15"/>
  </cols>
  <sheetData>
    <row r="1">
      <c r="A1" s="1" t="inlineStr">
        <is>
          <t>Week #</t>
        </is>
      </c>
      <c r="B1" s="1" t="inlineStr">
        <is>
          <t>Phase</t>
        </is>
      </c>
      <c r="C1" s="1" t="inlineStr">
        <is>
          <t>Total DMs Sent</t>
        </is>
      </c>
      <c r="D1" s="1" t="inlineStr">
        <is>
          <t>Total DM Replies</t>
        </is>
      </c>
      <c r="E1" s="1" t="inlineStr">
        <is>
          <t>DM Reply Rate</t>
        </is>
      </c>
      <c r="F1" s="1" t="inlineStr">
        <is>
          <t>Total Emails Sent</t>
        </is>
      </c>
      <c r="G1" s="1" t="inlineStr">
        <is>
          <t>Total Email Opens</t>
        </is>
      </c>
      <c r="H1" s="1" t="inlineStr">
        <is>
          <t>Email Open Rate</t>
        </is>
      </c>
      <c r="I1" s="1" t="inlineStr">
        <is>
          <t>Total LinkedIn Outreach</t>
        </is>
      </c>
      <c r="J1" s="1" t="inlineStr">
        <is>
          <t>LinkedIn Accept Rate</t>
        </is>
      </c>
      <c r="K1" s="1" t="inlineStr">
        <is>
          <t>Total LP Visits</t>
        </is>
      </c>
      <c r="L1" s="1" t="inlineStr">
        <is>
          <t>Total Sales</t>
        </is>
      </c>
      <c r="M1" s="1" t="inlineStr">
        <is>
          <t>Total Revenue</t>
        </is>
      </c>
      <c r="N1" s="1" t="inlineStr">
        <is>
          <t>Conversion Rate</t>
        </is>
      </c>
      <c r="O1" s="1" t="inlineStr">
        <is>
          <t>Notes</t>
        </is>
      </c>
    </row>
    <row r="2">
      <c r="A2" s="2" t="n">
        <v>1</v>
      </c>
      <c r="B2" s="2" t="inlineStr">
        <is>
          <t>Attention</t>
        </is>
      </c>
      <c r="C2" s="2">
        <f>SUM('Daily Activity Log'!E2:E8)</f>
        <v/>
      </c>
      <c r="D2" s="2">
        <f>SUM('Daily Activity Log'!F2:F8)</f>
        <v/>
      </c>
      <c r="E2" s="3">
        <f>IF(C2=0,"",D2/C2)</f>
        <v/>
      </c>
      <c r="F2" s="2">
        <f>SUM('Daily Activity Log'!H2:H8)</f>
        <v/>
      </c>
      <c r="G2" s="2">
        <f>SUM('Daily Activity Log'!I2:I8)</f>
        <v/>
      </c>
      <c r="H2" s="3">
        <f>IF(F2=0,"",G2/F2)</f>
        <v/>
      </c>
      <c r="I2" s="2">
        <f>SUM('Daily Activity Log'!M2:M8)</f>
        <v/>
      </c>
      <c r="J2" s="3">
        <f>IF(I2=0,"",SUM('Daily Activity Log'!N2:N8)/I2)</f>
        <v/>
      </c>
      <c r="K2" s="2">
        <f>SUM('Daily Activity Log'!U2:U8)</f>
        <v/>
      </c>
      <c r="L2" s="2">
        <f>SUM('Daily Activity Log'!V2:V8)</f>
        <v/>
      </c>
      <c r="M2" s="4">
        <f>L2*97</f>
        <v/>
      </c>
      <c r="N2" s="3">
        <f>IF(K2=0,"",L2/K2)</f>
        <v/>
      </c>
      <c r="O2" s="2" t="n"/>
    </row>
    <row r="3">
      <c r="A3" s="2" t="n">
        <v>2</v>
      </c>
      <c r="B3" s="2" t="inlineStr">
        <is>
          <t>Attention</t>
        </is>
      </c>
      <c r="C3" s="2">
        <f>SUM('Daily Activity Log'!E9:E15)</f>
        <v/>
      </c>
      <c r="D3" s="2">
        <f>SUM('Daily Activity Log'!F9:F15)</f>
        <v/>
      </c>
      <c r="E3" s="3">
        <f>IF(C3=0,"",D3/C3)</f>
        <v/>
      </c>
      <c r="F3" s="2">
        <f>SUM('Daily Activity Log'!H9:H15)</f>
        <v/>
      </c>
      <c r="G3" s="2">
        <f>SUM('Daily Activity Log'!I9:I15)</f>
        <v/>
      </c>
      <c r="H3" s="3">
        <f>IF(F3=0,"",G3/F3)</f>
        <v/>
      </c>
      <c r="I3" s="2">
        <f>SUM('Daily Activity Log'!M9:M15)</f>
        <v/>
      </c>
      <c r="J3" s="3">
        <f>IF(I3=0,"",SUM('Daily Activity Log'!N9:N15)/I3)</f>
        <v/>
      </c>
      <c r="K3" s="2">
        <f>SUM('Daily Activity Log'!U9:U15)</f>
        <v/>
      </c>
      <c r="L3" s="2">
        <f>SUM('Daily Activity Log'!V9:V15)</f>
        <v/>
      </c>
      <c r="M3" s="4">
        <f>L3*97</f>
        <v/>
      </c>
      <c r="N3" s="3">
        <f>IF(K3=0,"",L3/K3)</f>
        <v/>
      </c>
      <c r="O3" s="2" t="n"/>
    </row>
    <row r="4">
      <c r="A4" s="2" t="n">
        <v>3</v>
      </c>
      <c r="B4" s="2" t="inlineStr">
        <is>
          <t>Interest</t>
        </is>
      </c>
      <c r="C4" s="2">
        <f>SUM('Daily Activity Log'!E16:E22)</f>
        <v/>
      </c>
      <c r="D4" s="2">
        <f>SUM('Daily Activity Log'!F16:F22)</f>
        <v/>
      </c>
      <c r="E4" s="3">
        <f>IF(C4=0,"",D4/C4)</f>
        <v/>
      </c>
      <c r="F4" s="2">
        <f>SUM('Daily Activity Log'!H16:H22)</f>
        <v/>
      </c>
      <c r="G4" s="2">
        <f>SUM('Daily Activity Log'!I16:I22)</f>
        <v/>
      </c>
      <c r="H4" s="3">
        <f>IF(F4=0,"",G4/F4)</f>
        <v/>
      </c>
      <c r="I4" s="2">
        <f>SUM('Daily Activity Log'!M16:M22)</f>
        <v/>
      </c>
      <c r="J4" s="3">
        <f>IF(I4=0,"",SUM('Daily Activity Log'!N16:N22)/I4)</f>
        <v/>
      </c>
      <c r="K4" s="2">
        <f>SUM('Daily Activity Log'!U16:U22)</f>
        <v/>
      </c>
      <c r="L4" s="2">
        <f>SUM('Daily Activity Log'!V16:V22)</f>
        <v/>
      </c>
      <c r="M4" s="4">
        <f>L4*97</f>
        <v/>
      </c>
      <c r="N4" s="3">
        <f>IF(K4=0,"",L4/K4)</f>
        <v/>
      </c>
      <c r="O4" s="2" t="n"/>
    </row>
    <row r="5">
      <c r="A5" s="2" t="n">
        <v>4</v>
      </c>
      <c r="B5" s="2" t="inlineStr">
        <is>
          <t>Interest</t>
        </is>
      </c>
      <c r="C5" s="2">
        <f>SUM('Daily Activity Log'!E23:E29)</f>
        <v/>
      </c>
      <c r="D5" s="2">
        <f>SUM('Daily Activity Log'!F23:F29)</f>
        <v/>
      </c>
      <c r="E5" s="3">
        <f>IF(C5=0,"",D5/C5)</f>
        <v/>
      </c>
      <c r="F5" s="2">
        <f>SUM('Daily Activity Log'!H23:H29)</f>
        <v/>
      </c>
      <c r="G5" s="2">
        <f>SUM('Daily Activity Log'!I23:I29)</f>
        <v/>
      </c>
      <c r="H5" s="3">
        <f>IF(F5=0,"",G5/F5)</f>
        <v/>
      </c>
      <c r="I5" s="2">
        <f>SUM('Daily Activity Log'!M23:M29)</f>
        <v/>
      </c>
      <c r="J5" s="3">
        <f>IF(I5=0,"",SUM('Daily Activity Log'!N23:N29)/I5)</f>
        <v/>
      </c>
      <c r="K5" s="2">
        <f>SUM('Daily Activity Log'!U23:U29)</f>
        <v/>
      </c>
      <c r="L5" s="2">
        <f>SUM('Daily Activity Log'!V23:V29)</f>
        <v/>
      </c>
      <c r="M5" s="4">
        <f>L5*97</f>
        <v/>
      </c>
      <c r="N5" s="3">
        <f>IF(K5=0,"",L5/K5)</f>
        <v/>
      </c>
      <c r="O5" s="2" t="n"/>
    </row>
    <row r="6">
      <c r="A6" s="2" t="n">
        <v>5</v>
      </c>
      <c r="B6" s="2" t="inlineStr">
        <is>
          <t>Desire</t>
        </is>
      </c>
      <c r="C6" s="2">
        <f>SUM('Daily Activity Log'!E30:E36)</f>
        <v/>
      </c>
      <c r="D6" s="2">
        <f>SUM('Daily Activity Log'!F30:F36)</f>
        <v/>
      </c>
      <c r="E6" s="3">
        <f>IF(C6=0,"",D6/C6)</f>
        <v/>
      </c>
      <c r="F6" s="2">
        <f>SUM('Daily Activity Log'!H30:H36)</f>
        <v/>
      </c>
      <c r="G6" s="2">
        <f>SUM('Daily Activity Log'!I30:I36)</f>
        <v/>
      </c>
      <c r="H6" s="3">
        <f>IF(F6=0,"",G6/F6)</f>
        <v/>
      </c>
      <c r="I6" s="2">
        <f>SUM('Daily Activity Log'!M30:M36)</f>
        <v/>
      </c>
      <c r="J6" s="3">
        <f>IF(I6=0,"",SUM('Daily Activity Log'!N30:N36)/I6)</f>
        <v/>
      </c>
      <c r="K6" s="2">
        <f>SUM('Daily Activity Log'!U30:U36)</f>
        <v/>
      </c>
      <c r="L6" s="2">
        <f>SUM('Daily Activity Log'!V30:V36)</f>
        <v/>
      </c>
      <c r="M6" s="4">
        <f>L6*97</f>
        <v/>
      </c>
      <c r="N6" s="3">
        <f>IF(K6=0,"",L6/K6)</f>
        <v/>
      </c>
      <c r="O6" s="2" t="n"/>
    </row>
    <row r="7">
      <c r="A7" s="2" t="n">
        <v>6</v>
      </c>
      <c r="B7" s="2" t="inlineStr">
        <is>
          <t>Action</t>
        </is>
      </c>
      <c r="C7" s="2">
        <f>SUM('Daily Activity Log'!E37:E43)</f>
        <v/>
      </c>
      <c r="D7" s="2">
        <f>SUM('Daily Activity Log'!F37:F43)</f>
        <v/>
      </c>
      <c r="E7" s="3">
        <f>IF(C7=0,"",D7/C7)</f>
        <v/>
      </c>
      <c r="F7" s="2">
        <f>SUM('Daily Activity Log'!H37:H43)</f>
        <v/>
      </c>
      <c r="G7" s="2">
        <f>SUM('Daily Activity Log'!I37:I43)</f>
        <v/>
      </c>
      <c r="H7" s="3">
        <f>IF(F7=0,"",G7/F7)</f>
        <v/>
      </c>
      <c r="I7" s="2">
        <f>SUM('Daily Activity Log'!M37:M43)</f>
        <v/>
      </c>
      <c r="J7" s="3">
        <f>IF(I7=0,"",SUM('Daily Activity Log'!N37:N43)/I7)</f>
        <v/>
      </c>
      <c r="K7" s="2">
        <f>SUM('Daily Activity Log'!U37:U43)</f>
        <v/>
      </c>
      <c r="L7" s="2">
        <f>SUM('Daily Activity Log'!V37:V43)</f>
        <v/>
      </c>
      <c r="M7" s="4">
        <f>L7*97</f>
        <v/>
      </c>
      <c r="N7" s="3">
        <f>IF(K7=0,"",L7/K7)</f>
        <v/>
      </c>
      <c r="O7" s="2" t="n"/>
    </row>
    <row r="8">
      <c r="A8" s="5" t="inlineStr">
        <is>
          <t>GRAND TOTAL</t>
        </is>
      </c>
      <c r="B8" s="6" t="n"/>
      <c r="C8" s="6">
        <f>SUM(C2:C7)</f>
        <v/>
      </c>
      <c r="D8" s="6">
        <f>SUM(D2:D7)</f>
        <v/>
      </c>
      <c r="E8" s="7">
        <f>IF(C8=0,"",D8/C8)</f>
        <v/>
      </c>
      <c r="F8" s="6">
        <f>SUM(F2:F7)</f>
        <v/>
      </c>
      <c r="G8" s="6">
        <f>SUM(G2:G7)</f>
        <v/>
      </c>
      <c r="H8" s="7">
        <f>IF(F8=0,"",G8/F8)</f>
        <v/>
      </c>
      <c r="I8" s="6">
        <f>SUM(I2:I7)</f>
        <v/>
      </c>
      <c r="J8" s="6" t="n"/>
      <c r="K8" s="6">
        <f>SUM(K2:K7)</f>
        <v/>
      </c>
      <c r="L8" s="6">
        <f>SUM(L2:L7)</f>
        <v/>
      </c>
      <c r="M8" s="8">
        <f>L8*97</f>
        <v/>
      </c>
      <c r="N8" s="7">
        <f>IF(K8=0,"",L8/K8)</f>
        <v/>
      </c>
      <c r="O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35" customWidth="1" min="4" max="4"/>
    <col width="35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2" customWidth="1" min="13" max="13"/>
    <col width="8" customWidth="1" min="14" max="14"/>
    <col width="12" customWidth="1" min="15" max="15"/>
    <col width="10" customWidth="1" min="16" max="16"/>
    <col width="14" customWidth="1" min="17" max="17"/>
    <col width="25" customWidth="1" min="18" max="18"/>
  </cols>
  <sheetData>
    <row r="1">
      <c r="A1" s="1" t="inlineStr">
        <is>
          <t>Email #</t>
        </is>
      </c>
      <c r="B1" s="1" t="inlineStr">
        <is>
          <t>Email Name</t>
        </is>
      </c>
      <c r="C1" s="1" t="inlineStr">
        <is>
          <t>Phase</t>
        </is>
      </c>
      <c r="D1" s="1" t="inlineStr">
        <is>
          <t>Subject Line A</t>
        </is>
      </c>
      <c r="E1" s="1" t="inlineStr">
        <is>
          <t>Subject Line B</t>
        </is>
      </c>
      <c r="F1" s="1" t="inlineStr">
        <is>
          <t>Send Date</t>
        </is>
      </c>
      <c r="G1" s="1" t="inlineStr">
        <is>
          <t>Total Sent</t>
        </is>
      </c>
      <c r="H1" s="1" t="inlineStr">
        <is>
          <t>Opens (A)</t>
        </is>
      </c>
      <c r="I1" s="1" t="inlineStr">
        <is>
          <t>Open Rate (A)</t>
        </is>
      </c>
      <c r="J1" s="1" t="inlineStr">
        <is>
          <t>Opens (B)</t>
        </is>
      </c>
      <c r="K1" s="1" t="inlineStr">
        <is>
          <t>Open Rate (B)</t>
        </is>
      </c>
      <c r="L1" s="1" t="inlineStr">
        <is>
          <t>Winner</t>
        </is>
      </c>
      <c r="M1" s="1" t="inlineStr">
        <is>
          <t>Total Clicks</t>
        </is>
      </c>
      <c r="N1" s="1" t="inlineStr">
        <is>
          <t>CTR</t>
        </is>
      </c>
      <c r="O1" s="1" t="inlineStr">
        <is>
          <t>Unsubscribes</t>
        </is>
      </c>
      <c r="P1" s="1" t="inlineStr">
        <is>
          <t>Replies</t>
        </is>
      </c>
      <c r="Q1" s="1" t="inlineStr">
        <is>
          <t>Sales Attributed</t>
        </is>
      </c>
      <c r="R1" s="1" t="inlineStr">
        <is>
          <t>Notes</t>
        </is>
      </c>
    </row>
    <row r="2">
      <c r="A2" s="2" t="n">
        <v>1</v>
      </c>
      <c r="B2" s="2" t="inlineStr">
        <is>
          <t>The Pain</t>
        </is>
      </c>
      <c r="C2" s="2" t="inlineStr">
        <is>
          <t>Interest</t>
        </is>
      </c>
      <c r="D2" s="2" t="inlineStr">
        <is>
          <t>Are you renting clients or building a business?</t>
        </is>
      </c>
      <c r="E2" s="2" t="inlineStr">
        <is>
          <t>The $48,000 mistake most salon owners make every year</t>
        </is>
      </c>
      <c r="F2" s="2" t="n"/>
      <c r="G2" s="2" t="n"/>
      <c r="H2" s="2" t="n"/>
      <c r="I2" s="3">
        <f>IF(G2=0,"",H2/(G2/2))</f>
        <v/>
      </c>
      <c r="J2" s="2" t="n"/>
      <c r="K2" s="3">
        <f>IF(G2=0,"",J2/(G2/2))</f>
        <v/>
      </c>
      <c r="L2" s="2" t="n"/>
      <c r="M2" s="2" t="n"/>
      <c r="N2" s="3">
        <f>IF(G2=0,"",M2/G2)</f>
        <v/>
      </c>
      <c r="O2" s="2" t="n"/>
      <c r="P2" s="2" t="n"/>
      <c r="Q2" s="2" t="n"/>
      <c r="R2" s="2" t="n"/>
    </row>
    <row r="3">
      <c r="A3" s="2" t="n">
        <v>2</v>
      </c>
      <c r="B3" s="2" t="inlineStr">
        <is>
          <t>Social Proof</t>
        </is>
      </c>
      <c r="C3" s="2" t="inlineStr">
        <is>
          <t>Interest</t>
        </is>
      </c>
      <c r="D3" s="2" t="inlineStr">
        <is>
          <t>23 clients came back. Zero ad spend.</t>
        </is>
      </c>
      <c r="E3" s="2" t="inlineStr">
        <is>
          <t>How Fatima stopped paying $4,000/month for ads</t>
        </is>
      </c>
      <c r="F3" s="2" t="n"/>
      <c r="G3" s="2" t="n"/>
      <c r="H3" s="2" t="n"/>
      <c r="I3" s="3">
        <f>IF(G3=0,"",H3/(G3/2))</f>
        <v/>
      </c>
      <c r="J3" s="2" t="n"/>
      <c r="K3" s="3">
        <f>IF(G3=0,"",J3/(G3/2))</f>
        <v/>
      </c>
      <c r="L3" s="2" t="n"/>
      <c r="M3" s="2" t="n"/>
      <c r="N3" s="3">
        <f>IF(G3=0,"",M3/G3)</f>
        <v/>
      </c>
      <c r="O3" s="2" t="n"/>
      <c r="P3" s="2" t="n"/>
      <c r="Q3" s="2" t="n"/>
      <c r="R3" s="2" t="n"/>
    </row>
    <row r="4">
      <c r="A4" s="2" t="n">
        <v>3</v>
      </c>
      <c r="B4" s="2" t="inlineStr">
        <is>
          <t>The Tease</t>
        </is>
      </c>
      <c r="C4" s="2" t="inlineStr">
        <is>
          <t>Interest</t>
        </is>
      </c>
      <c r="D4" s="2" t="inlineStr">
        <is>
          <t>The 8-module system that filled 500+ salon calendars</t>
        </is>
      </c>
      <c r="E4" s="2" t="inlineStr">
        <is>
          <t>Before I show you the price — here's what's inside</t>
        </is>
      </c>
      <c r="F4" s="2" t="n"/>
      <c r="G4" s="2" t="n"/>
      <c r="H4" s="2" t="n"/>
      <c r="I4" s="3">
        <f>IF(G4=0,"",H4/(G4/2))</f>
        <v/>
      </c>
      <c r="J4" s="2" t="n"/>
      <c r="K4" s="3">
        <f>IF(G4=0,"",J4/(G4/2))</f>
        <v/>
      </c>
      <c r="L4" s="2" t="n"/>
      <c r="M4" s="2" t="n"/>
      <c r="N4" s="3">
        <f>IF(G4=0,"",M4/G4)</f>
        <v/>
      </c>
      <c r="O4" s="2" t="n"/>
      <c r="P4" s="2" t="n"/>
      <c r="Q4" s="2" t="n"/>
      <c r="R4" s="2" t="n"/>
    </row>
    <row r="5">
      <c r="A5" s="2" t="n">
        <v>4</v>
      </c>
      <c r="B5" s="2" t="inlineStr">
        <is>
          <t>Offer Reveal</t>
        </is>
      </c>
      <c r="C5" s="2" t="inlineStr">
        <is>
          <t>Desire</t>
        </is>
      </c>
      <c r="D5" s="2" t="inlineStr">
        <is>
          <t>Here's everything you get — and the price drops today</t>
        </is>
      </c>
      <c r="E5" s="2" t="inlineStr">
        <is>
          <t>$1,041 in value. $97 today.</t>
        </is>
      </c>
      <c r="F5" s="2" t="n"/>
      <c r="G5" s="2" t="n"/>
      <c r="H5" s="2" t="n"/>
      <c r="I5" s="3">
        <f>IF(G5=0,"",H5/(G5/2))</f>
        <v/>
      </c>
      <c r="J5" s="2" t="n"/>
      <c r="K5" s="3">
        <f>IF(G5=0,"",J5/(G5/2))</f>
        <v/>
      </c>
      <c r="L5" s="2" t="n"/>
      <c r="M5" s="2" t="n"/>
      <c r="N5" s="3">
        <f>IF(G5=0,"",M5/G5)</f>
        <v/>
      </c>
      <c r="O5" s="2" t="n"/>
      <c r="P5" s="2" t="n"/>
      <c r="Q5" s="2" t="n"/>
      <c r="R5" s="2" t="n"/>
    </row>
    <row r="6">
      <c r="A6" s="2" t="n">
        <v>5</v>
      </c>
      <c r="B6" s="2" t="inlineStr">
        <is>
          <t>Bonus Stack</t>
        </is>
      </c>
      <c r="C6" s="2" t="inlineStr">
        <is>
          <t>Desire</t>
        </is>
      </c>
      <c r="D6" s="2" t="inlineStr">
        <is>
          <t>Here's what you lose if you wait</t>
        </is>
      </c>
      <c r="E6" s="2" t="inlineStr">
        <is>
          <t>The bonuses disappear before the price goes up</t>
        </is>
      </c>
      <c r="F6" s="2" t="n"/>
      <c r="G6" s="2" t="n"/>
      <c r="H6" s="2" t="n"/>
      <c r="I6" s="3">
        <f>IF(G6=0,"",H6/(G6/2))</f>
        <v/>
      </c>
      <c r="J6" s="2" t="n"/>
      <c r="K6" s="3">
        <f>IF(G6=0,"",J6/(G6/2))</f>
        <v/>
      </c>
      <c r="L6" s="2" t="n"/>
      <c r="M6" s="2" t="n"/>
      <c r="N6" s="3">
        <f>IF(G6=0,"",M6/G6)</f>
        <v/>
      </c>
      <c r="O6" s="2" t="n"/>
      <c r="P6" s="2" t="n"/>
      <c r="Q6" s="2" t="n"/>
      <c r="R6" s="2" t="n"/>
    </row>
    <row r="7">
      <c r="A7" s="2" t="n">
        <v>6</v>
      </c>
      <c r="B7" s="2" t="inlineStr">
        <is>
          <t>Testimonials</t>
        </is>
      </c>
      <c r="C7" s="2" t="inlineStr">
        <is>
          <t>Desire</t>
        </is>
      </c>
      <c r="D7" s="2" t="inlineStr">
        <is>
          <t>Real salon owners. Real numbers.</t>
        </is>
      </c>
      <c r="E7" s="2" t="inlineStr">
        <is>
          <t>From $4,000/month in ads to $0 — their stories</t>
        </is>
      </c>
      <c r="F7" s="2" t="n"/>
      <c r="G7" s="2" t="n"/>
      <c r="H7" s="2" t="n"/>
      <c r="I7" s="3">
        <f>IF(G7=0,"",H7/(G7/2))</f>
        <v/>
      </c>
      <c r="J7" s="2" t="n"/>
      <c r="K7" s="3">
        <f>IF(G7=0,"",J7/(G7/2))</f>
        <v/>
      </c>
      <c r="L7" s="2" t="n"/>
      <c r="M7" s="2" t="n"/>
      <c r="N7" s="3">
        <f>IF(G7=0,"",M7/G7)</f>
        <v/>
      </c>
      <c r="O7" s="2" t="n"/>
      <c r="P7" s="2" t="n"/>
      <c r="Q7" s="2" t="n"/>
      <c r="R7" s="2" t="n"/>
    </row>
    <row r="8">
      <c r="A8" s="2" t="n">
        <v>7</v>
      </c>
      <c r="B8" s="2" t="inlineStr">
        <is>
          <t>48hr Warning</t>
        </is>
      </c>
      <c r="C8" s="2" t="inlineStr">
        <is>
          <t>Action</t>
        </is>
      </c>
      <c r="D8" s="2" t="inlineStr">
        <is>
          <t>48 hours left — then the price goes back to $497</t>
        </is>
      </c>
      <c r="E8" s="2" t="inlineStr">
        <is>
          <t>The math on waiting vs. enrolling right now</t>
        </is>
      </c>
      <c r="F8" s="2" t="n"/>
      <c r="G8" s="2" t="n"/>
      <c r="H8" s="2" t="n"/>
      <c r="I8" s="3">
        <f>IF(G8=0,"",H8/(G8/2))</f>
        <v/>
      </c>
      <c r="J8" s="2" t="n"/>
      <c r="K8" s="3">
        <f>IF(G8=0,"",J8/(G8/2))</f>
        <v/>
      </c>
      <c r="L8" s="2" t="n"/>
      <c r="M8" s="2" t="n"/>
      <c r="N8" s="3">
        <f>IF(G8=0,"",M8/G8)</f>
        <v/>
      </c>
      <c r="O8" s="2" t="n"/>
      <c r="P8" s="2" t="n"/>
      <c r="Q8" s="2" t="n"/>
      <c r="R8" s="2" t="n"/>
    </row>
    <row r="9">
      <c r="A9" s="2" t="n">
        <v>8</v>
      </c>
      <c r="B9" s="2" t="inlineStr">
        <is>
          <t>24hr Warning</t>
        </is>
      </c>
      <c r="C9" s="2" t="inlineStr">
        <is>
          <t>Action</t>
        </is>
      </c>
      <c r="D9" s="2" t="inlineStr">
        <is>
          <t>Last chance — 24 hours before the price changes</t>
        </is>
      </c>
      <c r="E9" s="2" t="inlineStr">
        <is>
          <t>What if it doesn't work? (Read this guarantee)</t>
        </is>
      </c>
      <c r="F9" s="2" t="n"/>
      <c r="G9" s="2" t="n"/>
      <c r="H9" s="2" t="n"/>
      <c r="I9" s="3">
        <f>IF(G9=0,"",H9/(G9/2))</f>
        <v/>
      </c>
      <c r="J9" s="2" t="n"/>
      <c r="K9" s="3">
        <f>IF(G9=0,"",J9/(G9/2))</f>
        <v/>
      </c>
      <c r="L9" s="2" t="n"/>
      <c r="M9" s="2" t="n"/>
      <c r="N9" s="3">
        <f>IF(G9=0,"",M9/G9)</f>
        <v/>
      </c>
      <c r="O9" s="2" t="n"/>
      <c r="P9" s="2" t="n"/>
      <c r="Q9" s="2" t="n"/>
      <c r="R9" s="2" t="n"/>
    </row>
    <row r="10">
      <c r="A10" s="2" t="n">
        <v>9</v>
      </c>
      <c r="B10" s="2" t="inlineStr">
        <is>
          <t>Final Close</t>
        </is>
      </c>
      <c r="C10" s="2" t="inlineStr">
        <is>
          <t>Action</t>
        </is>
      </c>
      <c r="D10" s="2" t="inlineStr">
        <is>
          <t>This is it — closing in 6 hours [FINAL NOTICE]</t>
        </is>
      </c>
      <c r="E10" s="2" t="inlineStr">
        <is>
          <t>Final email. Then it's done.</t>
        </is>
      </c>
      <c r="F10" s="2" t="n"/>
      <c r="G10" s="2" t="n"/>
      <c r="H10" s="2" t="n"/>
      <c r="I10" s="3">
        <f>IF(G10=0,"",H10/(G10/2))</f>
        <v/>
      </c>
      <c r="J10" s="2" t="n"/>
      <c r="K10" s="3">
        <f>IF(G10=0,"",J10/(G10/2))</f>
        <v/>
      </c>
      <c r="L10" s="2" t="n"/>
      <c r="M10" s="2" t="n"/>
      <c r="N10" s="3">
        <f>IF(G10=0,"",M10/G10)</f>
        <v/>
      </c>
      <c r="O10" s="2" t="n"/>
      <c r="P10" s="2" t="n"/>
      <c r="Q10" s="2" t="n"/>
      <c r="R1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12" customWidth="1" min="11" max="11"/>
    <col width="8" customWidth="1" min="12" max="12"/>
    <col width="25" customWidth="1" min="13" max="13"/>
  </cols>
  <sheetData>
    <row r="1">
      <c r="A1" s="1" t="inlineStr">
        <is>
          <t>Channel</t>
        </is>
      </c>
      <c r="B1" s="1" t="inlineStr">
        <is>
          <t>Total Outreach</t>
        </is>
      </c>
      <c r="C1" s="1" t="inlineStr">
        <is>
          <t>Total Responses</t>
        </is>
      </c>
      <c r="D1" s="1" t="inlineStr">
        <is>
          <t>Response Rate</t>
        </is>
      </c>
      <c r="E1" s="1" t="inlineStr">
        <is>
          <t>LP Clicks</t>
        </is>
      </c>
      <c r="F1" s="1" t="inlineStr">
        <is>
          <t>Click Rate</t>
        </is>
      </c>
      <c r="G1" s="1" t="inlineStr">
        <is>
          <t>Sales</t>
        </is>
      </c>
      <c r="H1" s="1" t="inlineStr">
        <is>
          <t>Conversion Rate</t>
        </is>
      </c>
      <c r="I1" s="1" t="inlineStr">
        <is>
          <t>Revenue</t>
        </is>
      </c>
      <c r="J1" s="1" t="inlineStr">
        <is>
          <t>Time (hrs)</t>
        </is>
      </c>
      <c r="K1" s="1" t="inlineStr">
        <is>
          <t>Revenue/Hour</t>
        </is>
      </c>
      <c r="L1" s="1" t="inlineStr">
        <is>
          <t>Priority</t>
        </is>
      </c>
      <c r="M1" s="1" t="inlineStr">
        <is>
          <t>Notes</t>
        </is>
      </c>
    </row>
    <row r="2">
      <c r="A2" s="2" t="inlineStr">
        <is>
          <t>Instagram DM</t>
        </is>
      </c>
      <c r="B2" s="2" t="n"/>
      <c r="C2" s="2" t="n"/>
      <c r="D2" s="3">
        <f>IF(B2=0,"",C2/B2)</f>
        <v/>
      </c>
      <c r="E2" s="2" t="n"/>
      <c r="F2" s="3">
        <f>IF(B2=0,"",E2/B2)</f>
        <v/>
      </c>
      <c r="G2" s="2" t="n"/>
      <c r="H2" s="3">
        <f>IF(E2=0,"",G2/E2)</f>
        <v/>
      </c>
      <c r="I2" s="4">
        <f>G2*97</f>
        <v/>
      </c>
      <c r="J2" s="2" t="n"/>
      <c r="K2" s="4">
        <f>IF(J2=0,"",I2/J2)</f>
        <v/>
      </c>
      <c r="L2" s="2" t="n"/>
      <c r="M2" s="2" t="n"/>
    </row>
    <row r="3">
      <c r="A3" s="2" t="inlineStr">
        <is>
          <t>Cold Email (GHL)</t>
        </is>
      </c>
      <c r="B3" s="2" t="n"/>
      <c r="C3" s="2" t="n"/>
      <c r="D3" s="3">
        <f>IF(B3=0,"",C3/B3)</f>
        <v/>
      </c>
      <c r="E3" s="2" t="n"/>
      <c r="F3" s="3">
        <f>IF(B3=0,"",E3/B3)</f>
        <v/>
      </c>
      <c r="G3" s="2" t="n"/>
      <c r="H3" s="3">
        <f>IF(E3=0,"",G3/E3)</f>
        <v/>
      </c>
      <c r="I3" s="4">
        <f>G3*97</f>
        <v/>
      </c>
      <c r="J3" s="2" t="n"/>
      <c r="K3" s="4">
        <f>IF(J3=0,"",I3/J3)</f>
        <v/>
      </c>
      <c r="L3" s="2" t="n"/>
      <c r="M3" s="2" t="n"/>
    </row>
    <row r="4">
      <c r="A4" s="2" t="inlineStr">
        <is>
          <t>LinkedIn</t>
        </is>
      </c>
      <c r="B4" s="2" t="n"/>
      <c r="C4" s="2" t="n"/>
      <c r="D4" s="3">
        <f>IF(B4=0,"",C4/B4)</f>
        <v/>
      </c>
      <c r="E4" s="2" t="n"/>
      <c r="F4" s="3">
        <f>IF(B4=0,"",E4/B4)</f>
        <v/>
      </c>
      <c r="G4" s="2" t="n"/>
      <c r="H4" s="3">
        <f>IF(E4=0,"",G4/E4)</f>
        <v/>
      </c>
      <c r="I4" s="4">
        <f>G4*97</f>
        <v/>
      </c>
      <c r="J4" s="2" t="n"/>
      <c r="K4" s="4">
        <f>IF(J4=0,"",I4/J4)</f>
        <v/>
      </c>
      <c r="L4" s="2" t="n"/>
      <c r="M4" s="2" t="n"/>
    </row>
    <row r="5">
      <c r="A5" s="2" t="inlineStr">
        <is>
          <t>Facebook Groups</t>
        </is>
      </c>
      <c r="B5" s="2" t="n"/>
      <c r="C5" s="2" t="n"/>
      <c r="D5" s="3">
        <f>IF(B5=0,"",C5/B5)</f>
        <v/>
      </c>
      <c r="E5" s="2" t="n"/>
      <c r="F5" s="3">
        <f>IF(B5=0,"",E5/B5)</f>
        <v/>
      </c>
      <c r="G5" s="2" t="n"/>
      <c r="H5" s="3">
        <f>IF(E5=0,"",G5/E5)</f>
        <v/>
      </c>
      <c r="I5" s="4">
        <f>G5*97</f>
        <v/>
      </c>
      <c r="J5" s="2" t="n"/>
      <c r="K5" s="4">
        <f>IF(J5=0,"",I5/J5)</f>
        <v/>
      </c>
      <c r="L5" s="2" t="n"/>
      <c r="M5" s="2" t="n"/>
    </row>
    <row r="6">
      <c r="A6" s="2" t="inlineStr">
        <is>
          <t>WhatsApp</t>
        </is>
      </c>
      <c r="B6" s="2" t="n"/>
      <c r="C6" s="2" t="n"/>
      <c r="D6" s="3">
        <f>IF(B6=0,"",C6/B6)</f>
        <v/>
      </c>
      <c r="E6" s="2" t="n"/>
      <c r="F6" s="3">
        <f>IF(B6=0,"",E6/B6)</f>
        <v/>
      </c>
      <c r="G6" s="2" t="n"/>
      <c r="H6" s="3">
        <f>IF(E6=0,"",G6/E6)</f>
        <v/>
      </c>
      <c r="I6" s="4">
        <f>G6*97</f>
        <v/>
      </c>
      <c r="J6" s="2" t="n"/>
      <c r="K6" s="4">
        <f>IF(J6=0,"",I6/J6)</f>
        <v/>
      </c>
      <c r="L6" s="2" t="n"/>
      <c r="M6" s="2" t="n"/>
    </row>
    <row r="7">
      <c r="A7" s="2" t="inlineStr">
        <is>
          <t>Threads</t>
        </is>
      </c>
      <c r="B7" s="2" t="n"/>
      <c r="C7" s="2" t="n"/>
      <c r="D7" s="3">
        <f>IF(B7=0,"",C7/B7)</f>
        <v/>
      </c>
      <c r="E7" s="2" t="n"/>
      <c r="F7" s="3">
        <f>IF(B7=0,"",E7/B7)</f>
        <v/>
      </c>
      <c r="G7" s="2" t="n"/>
      <c r="H7" s="3">
        <f>IF(E7=0,"",G7/E7)</f>
        <v/>
      </c>
      <c r="I7" s="4">
        <f>G7*97</f>
        <v/>
      </c>
      <c r="J7" s="2" t="n"/>
      <c r="K7" s="4">
        <f>IF(J7=0,"",I7/J7)</f>
        <v/>
      </c>
      <c r="L7" s="2" t="n"/>
      <c r="M7" s="2" t="n"/>
    </row>
    <row r="8">
      <c r="A8" s="9" t="inlineStr">
        <is>
          <t>TOTAL</t>
        </is>
      </c>
      <c r="B8" s="6">
        <f>SUM(B2:B7)</f>
        <v/>
      </c>
      <c r="C8" s="6">
        <f>SUM(C2:C7)</f>
        <v/>
      </c>
      <c r="D8" s="6" t="n"/>
      <c r="E8" s="6">
        <f>SUM(E2:E7)</f>
        <v/>
      </c>
      <c r="F8" s="6" t="n"/>
      <c r="G8" s="6">
        <f>SUM(G2:G7)</f>
        <v/>
      </c>
      <c r="H8" s="6" t="n"/>
      <c r="I8" s="8">
        <f>SUM(I2:I7)</f>
        <v/>
      </c>
      <c r="J8" s="6">
        <f>SUM(J2:J7)</f>
        <v/>
      </c>
      <c r="K8" s="6" t="n"/>
      <c r="L8" s="6" t="n"/>
      <c r="M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0" customWidth="1" min="5" max="5"/>
    <col width="40" customWidth="1" min="6" max="6"/>
    <col width="40" customWidth="1" min="7" max="7"/>
    <col width="35" customWidth="1" min="8" max="8"/>
    <col width="30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 #</t>
        </is>
      </c>
      <c r="D1" s="1" t="inlineStr">
        <is>
          <t>Phase</t>
        </is>
      </c>
      <c r="E1" s="1" t="inlineStr">
        <is>
          <t>Morning (9-11 AM)</t>
        </is>
      </c>
      <c r="F1" s="1" t="inlineStr">
        <is>
          <t>Midday (11 AM-1 PM)</t>
        </is>
      </c>
      <c r="G1" s="1" t="inlineStr">
        <is>
          <t>Afternoon (2-4 PM)</t>
        </is>
      </c>
      <c r="H1" s="1" t="inlineStr">
        <is>
          <t>Evening (4-6 PM)</t>
        </is>
      </c>
      <c r="I1" s="1" t="inlineStr">
        <is>
          <t>Key Deliverable</t>
        </is>
      </c>
      <c r="J1" s="1" t="inlineStr">
        <is>
          <t>Status</t>
        </is>
      </c>
    </row>
    <row r="2">
      <c r="A2" s="2" t="inlineStr">
        <is>
          <t>2026-04-06</t>
        </is>
      </c>
      <c r="B2" s="2" t="inlineStr">
        <is>
          <t>Monday</t>
        </is>
      </c>
      <c r="C2" s="2" t="n">
        <v>1</v>
      </c>
      <c r="D2" s="2" t="inlineStr">
        <is>
          <t>Attention</t>
        </is>
      </c>
      <c r="E2" s="2" t="inlineStr">
        <is>
          <t>Set up GHL sub-account, configure pipeline stages and tags</t>
        </is>
      </c>
      <c r="F2" s="2" t="inlineStr">
        <is>
          <t>Set up Apollo.io, save search filters, start building email list</t>
        </is>
      </c>
      <c r="G2" s="2" t="inlineStr">
        <is>
          <t>Join 8 Facebook groups, optimize Instagram bio + link</t>
        </is>
      </c>
      <c r="H2" s="2" t="inlineStr">
        <is>
          <t>Prepare first 3 Instagram DM script variants</t>
        </is>
      </c>
      <c r="I2" s="2" t="inlineStr">
        <is>
          <t>All platforms set up and configured</t>
        </is>
      </c>
      <c r="J2" s="2" t="inlineStr">
        <is>
          <t>Not Started</t>
        </is>
      </c>
    </row>
    <row r="3">
      <c r="A3" s="2" t="inlineStr">
        <is>
          <t>2026-04-07</t>
        </is>
      </c>
      <c r="B3" s="2" t="inlineStr">
        <is>
          <t>Tuesday</t>
        </is>
      </c>
      <c r="C3" s="2" t="n">
        <v>1</v>
      </c>
      <c r="D3" s="2" t="inlineStr">
        <is>
          <t>Attention</t>
        </is>
      </c>
      <c r="E3" s="2" t="inlineStr">
        <is>
          <t>Warm email domain (start process), install G Maps Extractor</t>
        </is>
      </c>
      <c r="F3" s="2" t="inlineStr">
        <is>
          <t>Scrape first 2 cities: Miami + LA (Google Maps)</t>
        </is>
      </c>
      <c r="G3" s="2" t="inlineStr">
        <is>
          <t>Start Apollo.io list build (target: 200 contacts today)</t>
        </is>
      </c>
      <c r="H3" s="2" t="inlineStr">
        <is>
          <t>Verify scraped data, clean email list</t>
        </is>
      </c>
      <c r="I3" s="2" t="inlineStr">
        <is>
          <t>200+ leads scraped and verified</t>
        </is>
      </c>
      <c r="J3" s="2" t="inlineStr">
        <is>
          <t>Not Started</t>
        </is>
      </c>
    </row>
    <row r="4">
      <c r="A4" s="2" t="inlineStr">
        <is>
          <t>2026-04-08</t>
        </is>
      </c>
      <c r="B4" s="2" t="inlineStr">
        <is>
          <t>Wednesday</t>
        </is>
      </c>
      <c r="C4" s="2" t="n">
        <v>1</v>
      </c>
      <c r="D4" s="2" t="inlineStr">
        <is>
          <t>Attention</t>
        </is>
      </c>
      <c r="E4" s="2" t="inlineStr">
        <is>
          <t>Send first batch of Instagram DMs (30 DMs)</t>
        </is>
      </c>
      <c r="F4" s="2" t="inlineStr">
        <is>
          <t>Continue Apollo.io list build (target: 300 more)</t>
        </is>
      </c>
      <c r="G4" s="2" t="inlineStr">
        <is>
          <t>Scrape 2 more cities: Houston + NYC</t>
        </is>
      </c>
      <c r="H4" s="2" t="inlineStr">
        <is>
          <t>Comment on 5+ posts in Facebook groups</t>
        </is>
      </c>
      <c r="I4" s="2" t="inlineStr">
        <is>
          <t>30 DMs sent, 500 leads total</t>
        </is>
      </c>
      <c r="J4" s="2" t="inlineStr">
        <is>
          <t>Not Started</t>
        </is>
      </c>
    </row>
    <row r="5">
      <c r="A5" s="2" t="inlineStr">
        <is>
          <t>2026-04-09</t>
        </is>
      </c>
      <c r="B5" s="2" t="inlineStr">
        <is>
          <t>Thursday</t>
        </is>
      </c>
      <c r="C5" s="2" t="n">
        <v>1</v>
      </c>
      <c r="D5" s="2" t="inlineStr">
        <is>
          <t>Attention</t>
        </is>
      </c>
      <c r="E5" s="2" t="inlineStr">
        <is>
          <t>Instagram DMs (40 DMs), track responses</t>
        </is>
      </c>
      <c r="F5" s="2" t="inlineStr">
        <is>
          <t>Load first email batch into GHL (do NOT send yet)</t>
        </is>
      </c>
      <c r="G5" s="2" t="inlineStr">
        <is>
          <t>Scrape 2 more cities: Chicago + Dallas</t>
        </is>
      </c>
      <c r="H5" s="2" t="inlineStr">
        <is>
          <t>Continue Facebook group commenting</t>
        </is>
      </c>
      <c r="I5" s="2" t="inlineStr">
        <is>
          <t>40 DMs sent, 700+ leads</t>
        </is>
      </c>
      <c r="J5" s="2" t="inlineStr">
        <is>
          <t>Not Started</t>
        </is>
      </c>
    </row>
    <row r="6">
      <c r="A6" s="2" t="inlineStr">
        <is>
          <t>2026-04-10</t>
        </is>
      </c>
      <c r="B6" s="2" t="inlineStr">
        <is>
          <t>Friday</t>
        </is>
      </c>
      <c r="C6" s="2" t="n">
        <v>1</v>
      </c>
      <c r="D6" s="2" t="inlineStr">
        <is>
          <t>Attention</t>
        </is>
      </c>
      <c r="E6" s="2" t="inlineStr">
        <is>
          <t>Instagram DMs (50 DMs), review reply rate</t>
        </is>
      </c>
      <c r="F6" s="2" t="inlineStr">
        <is>
          <t>Finalize email list in GHL (500+ contacts)</t>
        </is>
      </c>
      <c r="G6" s="2" t="inlineStr">
        <is>
          <t>Scrape 2 more cities: Atlanta + Tampa</t>
        </is>
      </c>
      <c r="H6" s="2" t="inlineStr">
        <is>
          <t>Review Week 1 progress, adjust scripts if needed</t>
        </is>
      </c>
      <c r="I6" s="2" t="inlineStr">
        <is>
          <t>50 DMs sent, 1000+ leads in database</t>
        </is>
      </c>
      <c r="J6" s="2" t="inlineStr">
        <is>
          <t>Not Started</t>
        </is>
      </c>
    </row>
    <row r="7">
      <c r="A7" s="2" t="inlineStr">
        <is>
          <t>2026-04-11</t>
        </is>
      </c>
      <c r="B7" s="2" t="inlineStr">
        <is>
          <t>Saturday</t>
        </is>
      </c>
      <c r="C7" s="2" t="n">
        <v>1</v>
      </c>
      <c r="D7" s="2" t="inlineStr">
        <is>
          <t>Attention</t>
        </is>
      </c>
      <c r="E7" s="2" t="inlineStr">
        <is>
          <t>Light DM follow-ups to replies</t>
        </is>
      </c>
      <c r="F7" s="2" t="inlineStr">
        <is>
          <t>Organize and clean all lead data</t>
        </is>
      </c>
      <c r="G7" s="2" t="inlineStr">
        <is>
          <t>Content planning for next week</t>
        </is>
      </c>
      <c r="H7" s="2" t="inlineStr">
        <is>
          <t>Rest / review metrics</t>
        </is>
      </c>
      <c r="I7" s="2" t="inlineStr">
        <is>
          <t>Database organized</t>
        </is>
      </c>
      <c r="J7" s="2" t="inlineStr">
        <is>
          <t>Not Started</t>
        </is>
      </c>
    </row>
    <row r="8">
      <c r="A8" s="2" t="inlineStr">
        <is>
          <t>2026-04-12</t>
        </is>
      </c>
      <c r="B8" s="2" t="inlineStr">
        <is>
          <t>Sunday</t>
        </is>
      </c>
      <c r="C8" s="2" t="n">
        <v>1</v>
      </c>
      <c r="D8" s="2" t="inlineStr">
        <is>
          <t>Attention</t>
        </is>
      </c>
      <c r="E8" s="2" t="inlineStr">
        <is>
          <t>Plan Week 2 priorities</t>
        </is>
      </c>
      <c r="F8" s="2" t="inlineStr">
        <is>
          <t>Review DM reply rate and best-performing opener</t>
        </is>
      </c>
      <c r="G8" s="2" t="inlineStr">
        <is>
          <t>Prep email sequences in GHL for Week 2 launch</t>
        </is>
      </c>
      <c r="H8" s="2" t="inlineStr">
        <is>
          <t>Rest</t>
        </is>
      </c>
      <c r="I8" s="2" t="inlineStr">
        <is>
          <t>Week 2 plan ready</t>
        </is>
      </c>
      <c r="J8" s="2" t="inlineStr">
        <is>
          <t>Not Started</t>
        </is>
      </c>
    </row>
    <row r="9">
      <c r="A9" s="2" t="inlineStr">
        <is>
          <t>2026-04-13</t>
        </is>
      </c>
      <c r="B9" s="2" t="inlineStr">
        <is>
          <t>Monday</t>
        </is>
      </c>
      <c r="C9" s="2" t="n">
        <v>2</v>
      </c>
      <c r="D9" s="2" t="inlineStr">
        <is>
          <t>Attention</t>
        </is>
      </c>
      <c r="E9" s="2" t="inlineStr">
        <is>
          <t>Instagram DMs (50/day), A/B test openers</t>
        </is>
      </c>
      <c r="F9" s="2" t="inlineStr">
        <is>
          <t>Launch first cold email batch in GHL (150/day)</t>
        </is>
      </c>
      <c r="G9" s="2" t="inlineStr">
        <is>
          <t>Start LinkedIn outreach (20 requests/day)</t>
        </is>
      </c>
      <c r="H9" s="2" t="inlineStr">
        <is>
          <t>First organic Facebook group post</t>
        </is>
      </c>
      <c r="I9" s="2" t="inlineStr">
        <is>
          <t>Email + DM + LinkedIn all active</t>
        </is>
      </c>
      <c r="J9" s="2" t="inlineStr">
        <is>
          <t>Not Started</t>
        </is>
      </c>
    </row>
    <row r="10">
      <c r="A10" s="2" t="inlineStr">
        <is>
          <t>2026-04-14</t>
        </is>
      </c>
      <c r="B10" s="2" t="inlineStr">
        <is>
          <t>Tuesday</t>
        </is>
      </c>
      <c r="C10" s="2" t="n">
        <v>2</v>
      </c>
      <c r="D10" s="2" t="inlineStr">
        <is>
          <t>Attention</t>
        </is>
      </c>
      <c r="E10" s="2" t="inlineStr">
        <is>
          <t>Instagram DMs (50/day), track responses</t>
        </is>
      </c>
      <c r="F10" s="2" t="inlineStr">
        <is>
          <t>Monitor email open rates, adjust subject lines</t>
        </is>
      </c>
      <c r="G10" s="2" t="inlineStr">
        <is>
          <t>LinkedIn connection follow-ups</t>
        </is>
      </c>
      <c r="H10" s="2" t="inlineStr">
        <is>
          <t>Facebook group commenting</t>
        </is>
      </c>
      <c r="I10" s="2" t="inlineStr">
        <is>
          <t>All channels running</t>
        </is>
      </c>
      <c r="J10" s="2" t="inlineStr">
        <is>
          <t>Not Started</t>
        </is>
      </c>
    </row>
    <row r="11">
      <c r="A11" s="2" t="inlineStr">
        <is>
          <t>2026-04-15</t>
        </is>
      </c>
      <c r="B11" s="2" t="inlineStr">
        <is>
          <t>Wednesday</t>
        </is>
      </c>
      <c r="C11" s="2" t="n">
        <v>2</v>
      </c>
      <c r="D11" s="2" t="inlineStr">
        <is>
          <t>Attention</t>
        </is>
      </c>
      <c r="E11" s="2" t="inlineStr">
        <is>
          <t>Instagram DMs (40/day) + reply to responses</t>
        </is>
      </c>
      <c r="F11" s="2" t="inlineStr">
        <is>
          <t>Cold emails (150/day), review A/B results</t>
        </is>
      </c>
      <c r="G11" s="2" t="inlineStr">
        <is>
          <t>LinkedIn messages to new connections</t>
        </is>
      </c>
      <c r="H11" s="2" t="inlineStr">
        <is>
          <t>Second Facebook group post</t>
        </is>
      </c>
      <c r="I11" s="2" t="inlineStr">
        <is>
          <t>Mid-week metric review</t>
        </is>
      </c>
      <c r="J11" s="2" t="inlineStr">
        <is>
          <t>Not Started</t>
        </is>
      </c>
    </row>
    <row r="12">
      <c r="A12" s="2" t="inlineStr">
        <is>
          <t>2026-04-16</t>
        </is>
      </c>
      <c r="B12" s="2" t="inlineStr">
        <is>
          <t>Thursday</t>
        </is>
      </c>
      <c r="C12" s="2" t="n">
        <v>2</v>
      </c>
      <c r="D12" s="2" t="inlineStr">
        <is>
          <t>Attention</t>
        </is>
      </c>
      <c r="E12" s="2" t="inlineStr">
        <is>
          <t>Instagram DMs (40/day)</t>
        </is>
      </c>
      <c r="F12" s="2" t="inlineStr">
        <is>
          <t>Cold emails (200/day) — double down on winning subject line</t>
        </is>
      </c>
      <c r="G12" s="2" t="inlineStr">
        <is>
          <t>LinkedIn outreach (25/day)</t>
        </is>
      </c>
      <c r="H12" s="2" t="inlineStr">
        <is>
          <t>Facebook group commenting + engagement</t>
        </is>
      </c>
      <c r="I12" s="2" t="inlineStr">
        <is>
          <t>200+ emails/day milestone</t>
        </is>
      </c>
      <c r="J12" s="2" t="inlineStr">
        <is>
          <t>Not Started</t>
        </is>
      </c>
    </row>
    <row r="13">
      <c r="A13" s="2" t="inlineStr">
        <is>
          <t>2026-04-17</t>
        </is>
      </c>
      <c r="B13" s="2" t="inlineStr">
        <is>
          <t>Friday</t>
        </is>
      </c>
      <c r="C13" s="2" t="n">
        <v>2</v>
      </c>
      <c r="D13" s="2" t="inlineStr">
        <is>
          <t>Attention</t>
        </is>
      </c>
      <c r="E13" s="2" t="inlineStr">
        <is>
          <t>Instagram DMs (40/day) + nurture warm leads</t>
        </is>
      </c>
      <c r="F13" s="2" t="inlineStr">
        <is>
          <t>Review email metrics: opens, clicks, replies</t>
        </is>
      </c>
      <c r="G13" s="2" t="inlineStr">
        <is>
          <t>LinkedIn (20/day)</t>
        </is>
      </c>
      <c r="H13" s="2" t="inlineStr">
        <is>
          <t>WEEKLY REVIEW: DM rate, email rate, LP visits</t>
        </is>
      </c>
      <c r="I13" s="2" t="inlineStr">
        <is>
          <t>Weekly KPI review complete</t>
        </is>
      </c>
      <c r="J13" s="2" t="inlineStr">
        <is>
          <t>Not Started</t>
        </is>
      </c>
    </row>
    <row r="14">
      <c r="A14" s="2" t="inlineStr">
        <is>
          <t>2026-04-18</t>
        </is>
      </c>
      <c r="B14" s="2" t="inlineStr">
        <is>
          <t>Saturday</t>
        </is>
      </c>
      <c r="C14" s="2" t="n">
        <v>2</v>
      </c>
      <c r="D14" s="2" t="inlineStr">
        <is>
          <t>Attention</t>
        </is>
      </c>
      <c r="E14" s="2" t="inlineStr">
        <is>
          <t>Light follow-ups only</t>
        </is>
      </c>
      <c r="F14" s="2" t="inlineStr">
        <is>
          <t>Prep Phase 2 (Interest) materials</t>
        </is>
      </c>
      <c r="G14" s="2" t="inlineStr">
        <is>
          <t>Organize warm leads list</t>
        </is>
      </c>
      <c r="H14" s="2" t="inlineStr">
        <is>
          <t>Content review</t>
        </is>
      </c>
      <c r="I14" s="2" t="inlineStr">
        <is>
          <t>Warm leads identified</t>
        </is>
      </c>
      <c r="J14" s="2" t="inlineStr">
        <is>
          <t>Not Started</t>
        </is>
      </c>
    </row>
    <row r="15">
      <c r="A15" s="2" t="inlineStr">
        <is>
          <t>2026-04-19</t>
        </is>
      </c>
      <c r="B15" s="2" t="inlineStr">
        <is>
          <t>Sunday</t>
        </is>
      </c>
      <c r="C15" s="2" t="n">
        <v>2</v>
      </c>
      <c r="D15" s="2" t="inlineStr">
        <is>
          <t>Attention</t>
        </is>
      </c>
      <c r="E15" s="2" t="inlineStr">
        <is>
          <t>Plan Phase 2 transition</t>
        </is>
      </c>
      <c r="F15" s="2" t="inlineStr">
        <is>
          <t>Review and segment leads by tier</t>
        </is>
      </c>
      <c r="G15" s="2" t="inlineStr">
        <is>
          <t>Prep nurture sequences</t>
        </is>
      </c>
      <c r="H15" s="2" t="inlineStr">
        <is>
          <t>Rest</t>
        </is>
      </c>
      <c r="I15" s="2" t="inlineStr">
        <is>
          <t>Phase 2 plan ready</t>
        </is>
      </c>
      <c r="J15" s="2" t="inlineStr">
        <is>
          <t>Not Started</t>
        </is>
      </c>
    </row>
    <row r="16">
      <c r="A16" s="2" t="inlineStr">
        <is>
          <t>2026-04-20</t>
        </is>
      </c>
      <c r="B16" s="2" t="inlineStr">
        <is>
          <t>Monday</t>
        </is>
      </c>
      <c r="C16" s="2" t="n">
        <v>3</v>
      </c>
      <c r="D16" s="2" t="inlineStr">
        <is>
          <t>Interest</t>
        </is>
      </c>
      <c r="E16" s="2" t="inlineStr">
        <is>
          <t>Launch Email Sequence 1-3 in GHL (nurture phase)</t>
        </is>
      </c>
      <c r="F16" s="2" t="inlineStr">
        <is>
          <t>Instagram DMs (25/day) — nurture warm leads</t>
        </is>
      </c>
      <c r="G16" s="2" t="inlineStr">
        <is>
          <t>Start Instagram 5-day story series (Day 1: RANK)</t>
        </is>
      </c>
      <c r="H16" s="2" t="inlineStr">
        <is>
          <t>LinkedIn posts 2x this week</t>
        </is>
      </c>
      <c r="I16" s="2" t="inlineStr">
        <is>
          <t>Nurture emails live</t>
        </is>
      </c>
      <c r="J16" s="2" t="inlineStr">
        <is>
          <t>Not Started</t>
        </is>
      </c>
    </row>
    <row r="17">
      <c r="A17" s="2" t="inlineStr">
        <is>
          <t>2026-04-21</t>
        </is>
      </c>
      <c r="B17" s="2" t="inlineStr">
        <is>
          <t>Tuesday</t>
        </is>
      </c>
      <c r="C17" s="2" t="n">
        <v>3</v>
      </c>
      <c r="D17" s="2" t="inlineStr">
        <is>
          <t>Interest</t>
        </is>
      </c>
      <c r="E17" s="2" t="inlineStr">
        <is>
          <t>Instagram Story Day 2: CONVERT</t>
        </is>
      </c>
      <c r="F17" s="2" t="inlineStr">
        <is>
          <t>DMs (25/day) — value-add messages to warm leads</t>
        </is>
      </c>
      <c r="G17" s="2" t="inlineStr">
        <is>
          <t>Monitor email opens/clicks on Email 1</t>
        </is>
      </c>
      <c r="H17" s="2" t="inlineStr">
        <is>
          <t>Facebook group post + engagement</t>
        </is>
      </c>
      <c r="I17" s="2" t="inlineStr">
        <is>
          <t>Story series running</t>
        </is>
      </c>
      <c r="J17" s="2" t="inlineStr">
        <is>
          <t>Not Started</t>
        </is>
      </c>
    </row>
    <row r="18">
      <c r="A18" s="2" t="inlineStr">
        <is>
          <t>2026-04-22</t>
        </is>
      </c>
      <c r="B18" s="2" t="inlineStr">
        <is>
          <t>Wednesday</t>
        </is>
      </c>
      <c r="C18" s="2" t="n">
        <v>3</v>
      </c>
      <c r="D18" s="2" t="inlineStr">
        <is>
          <t>Interest</t>
        </is>
      </c>
      <c r="E18" s="2" t="inlineStr">
        <is>
          <t>Instagram Story Day 3: REACTIVATE</t>
        </is>
      </c>
      <c r="F18" s="2" t="inlineStr">
        <is>
          <t>DMs (20/day) — follow up with story viewers</t>
        </is>
      </c>
      <c r="G18" s="2" t="inlineStr">
        <is>
          <t>LinkedIn post #1 this week</t>
        </is>
      </c>
      <c r="H18" s="2" t="inlineStr">
        <is>
          <t>Review Email 1 performance</t>
        </is>
      </c>
      <c r="I18" s="2" t="inlineStr">
        <is>
          <t>Mid-week nurture check</t>
        </is>
      </c>
      <c r="J18" s="2" t="inlineStr">
        <is>
          <t>Not Started</t>
        </is>
      </c>
    </row>
    <row r="19">
      <c r="A19" s="2" t="inlineStr">
        <is>
          <t>2026-04-23</t>
        </is>
      </c>
      <c r="B19" s="2" t="inlineStr">
        <is>
          <t>Thursday</t>
        </is>
      </c>
      <c r="C19" s="2" t="n">
        <v>3</v>
      </c>
      <c r="D19" s="2" t="inlineStr">
        <is>
          <t>Interest</t>
        </is>
      </c>
      <c r="E19" s="2" t="inlineStr">
        <is>
          <t>Instagram Story Day 4: REFER</t>
        </is>
      </c>
      <c r="F19" s="2" t="inlineStr">
        <is>
          <t>DMs (20/day)</t>
        </is>
      </c>
      <c r="G19" s="2" t="inlineStr">
        <is>
          <t>Monitor Email 2 performance</t>
        </is>
      </c>
      <c r="H19" s="2" t="inlineStr">
        <is>
          <t>Facebook group commenting</t>
        </is>
      </c>
      <c r="I19" s="2" t="inlineStr">
        <is>
          <t>Nurture progressing</t>
        </is>
      </c>
      <c r="J19" s="2" t="inlineStr">
        <is>
          <t>Not Started</t>
        </is>
      </c>
    </row>
    <row r="20">
      <c r="A20" s="2" t="inlineStr">
        <is>
          <t>2026-04-24</t>
        </is>
      </c>
      <c r="B20" s="2" t="inlineStr">
        <is>
          <t>Friday</t>
        </is>
      </c>
      <c r="C20" s="2" t="n">
        <v>3</v>
      </c>
      <c r="D20" s="2" t="inlineStr">
        <is>
          <t>Interest</t>
        </is>
      </c>
      <c r="E20" s="2" t="inlineStr">
        <is>
          <t>Instagram Story Day 5: SYSTEM OVERVIEW</t>
        </is>
      </c>
      <c r="F20" s="2" t="inlineStr">
        <is>
          <t>DMs (20/day)</t>
        </is>
      </c>
      <c r="G20" s="2" t="inlineStr">
        <is>
          <t>WEEKLY REVIEW: warm lead count, email engagement</t>
        </is>
      </c>
      <c r="H20" s="2" t="inlineStr">
        <is>
          <t>Prepare Phase 3 materials if warm leads &gt; 50</t>
        </is>
      </c>
      <c r="I20" s="2" t="inlineStr">
        <is>
          <t>Weekly review + Phase 3 prep</t>
        </is>
      </c>
      <c r="J20" s="2" t="inlineStr">
        <is>
          <t>Not Started</t>
        </is>
      </c>
    </row>
    <row r="21">
      <c r="A21" s="2" t="inlineStr">
        <is>
          <t>2026-04-25</t>
        </is>
      </c>
      <c r="B21" s="2" t="inlineStr">
        <is>
          <t>Saturday</t>
        </is>
      </c>
      <c r="C21" s="2" t="n">
        <v>3</v>
      </c>
      <c r="D21" s="2" t="inlineStr">
        <is>
          <t>Interest</t>
        </is>
      </c>
      <c r="E21" s="2" t="inlineStr">
        <is>
          <t>Light follow-ups</t>
        </is>
      </c>
      <c r="F21" s="2" t="inlineStr">
        <is>
          <t>Review story engagement metrics</t>
        </is>
      </c>
      <c r="G21" s="2" t="inlineStr">
        <is>
          <t>Segment leads: who engaged most?</t>
        </is>
      </c>
      <c r="H21" s="2" t="inlineStr">
        <is>
          <t>Rest</t>
        </is>
      </c>
      <c r="I21" s="2" t="inlineStr">
        <is>
          <t>Lead segments updated</t>
        </is>
      </c>
      <c r="J21" s="2" t="inlineStr">
        <is>
          <t>Not Started</t>
        </is>
      </c>
    </row>
    <row r="22">
      <c r="A22" s="2" t="inlineStr">
        <is>
          <t>2026-04-26</t>
        </is>
      </c>
      <c r="B22" s="2" t="inlineStr">
        <is>
          <t>Sunday</t>
        </is>
      </c>
      <c r="C22" s="2" t="n">
        <v>3</v>
      </c>
      <c r="D22" s="2" t="inlineStr">
        <is>
          <t>Interest</t>
        </is>
      </c>
      <c r="E22" s="2" t="inlineStr">
        <is>
          <t>Plan Week 4 priorities</t>
        </is>
      </c>
      <c r="F22" s="2" t="inlineStr">
        <is>
          <t>Review warm vs cold lead ratios</t>
        </is>
      </c>
      <c r="G22" s="2" t="inlineStr">
        <is>
          <t>Adjust strategy if warm leads &lt; 50</t>
        </is>
      </c>
      <c r="H22" s="2" t="inlineStr">
        <is>
          <t>Rest</t>
        </is>
      </c>
      <c r="I22" s="2" t="inlineStr">
        <is>
          <t>Week 4 plan ready</t>
        </is>
      </c>
      <c r="J22" s="2" t="inlineStr">
        <is>
          <t>Not Started</t>
        </is>
      </c>
    </row>
    <row r="23">
      <c r="A23" s="2" t="inlineStr">
        <is>
          <t>2026-04-27</t>
        </is>
      </c>
      <c r="B23" s="2" t="inlineStr">
        <is>
          <t>Monday</t>
        </is>
      </c>
      <c r="C23" s="2" t="n">
        <v>4</v>
      </c>
      <c r="D23" s="2" t="inlineStr">
        <is>
          <t>Interest</t>
        </is>
      </c>
      <c r="E23" s="2" t="inlineStr">
        <is>
          <t>Continue nurture DMs (20/day) — value content</t>
        </is>
      </c>
      <c r="F23" s="2" t="inlineStr">
        <is>
          <t>Monitor Email 3 performance in GHL</t>
        </is>
      </c>
      <c r="G23" s="2" t="inlineStr">
        <is>
          <t>LinkedIn post + engagement</t>
        </is>
      </c>
      <c r="H23" s="2" t="inlineStr">
        <is>
          <t>Facebook group post</t>
        </is>
      </c>
      <c r="I23" s="2" t="inlineStr">
        <is>
          <t>Nurture continues</t>
        </is>
      </c>
      <c r="J23" s="2" t="inlineStr">
        <is>
          <t>Not Started</t>
        </is>
      </c>
    </row>
    <row r="24">
      <c r="A24" s="2" t="inlineStr">
        <is>
          <t>2026-04-28</t>
        </is>
      </c>
      <c r="B24" s="2" t="inlineStr">
        <is>
          <t>Tuesday</t>
        </is>
      </c>
      <c r="C24" s="2" t="n">
        <v>4</v>
      </c>
      <c r="D24" s="2" t="inlineStr">
        <is>
          <t>Interest</t>
        </is>
      </c>
      <c r="E24" s="2" t="inlineStr">
        <is>
          <t>DMs (20/day) — check-in messages</t>
        </is>
      </c>
      <c r="F24" s="2" t="inlineStr">
        <is>
          <t>Prep Email 4-6 (Desire phase) in GHL</t>
        </is>
      </c>
      <c r="G24" s="2" t="inlineStr">
        <is>
          <t>LinkedIn connection follow-ups</t>
        </is>
      </c>
      <c r="H24" s="2" t="inlineStr">
        <is>
          <t>Engage with warm leads on their posts</t>
        </is>
      </c>
      <c r="I24" s="2" t="inlineStr">
        <is>
          <t>Desire emails prepped</t>
        </is>
      </c>
      <c r="J24" s="2" t="inlineStr">
        <is>
          <t>Not Started</t>
        </is>
      </c>
    </row>
    <row r="25">
      <c r="A25" s="2" t="inlineStr">
        <is>
          <t>2026-04-29</t>
        </is>
      </c>
      <c r="B25" s="2" t="inlineStr">
        <is>
          <t>Wednesday</t>
        </is>
      </c>
      <c r="C25" s="2" t="n">
        <v>4</v>
      </c>
      <c r="D25" s="2" t="inlineStr">
        <is>
          <t>Interest</t>
        </is>
      </c>
      <c r="E25" s="2" t="inlineStr">
        <is>
          <t>DMs (20/day) — share success stories</t>
        </is>
      </c>
      <c r="F25" s="2" t="inlineStr">
        <is>
          <t>Review all email metrics so far</t>
        </is>
      </c>
      <c r="G25" s="2" t="inlineStr">
        <is>
          <t>LinkedIn engagement</t>
        </is>
      </c>
      <c r="H25" s="2" t="inlineStr">
        <is>
          <t>Facebook group commenting</t>
        </is>
      </c>
      <c r="I25" s="2" t="inlineStr">
        <is>
          <t>Email metrics reviewed</t>
        </is>
      </c>
      <c r="J25" s="2" t="inlineStr">
        <is>
          <t>Not Started</t>
        </is>
      </c>
    </row>
    <row r="26">
      <c r="A26" s="2" t="inlineStr">
        <is>
          <t>2026-04-30</t>
        </is>
      </c>
      <c r="B26" s="2" t="inlineStr">
        <is>
          <t>Thursday</t>
        </is>
      </c>
      <c r="C26" s="2" t="n">
        <v>4</v>
      </c>
      <c r="D26" s="2" t="inlineStr">
        <is>
          <t>Interest</t>
        </is>
      </c>
      <c r="E26" s="2" t="inlineStr">
        <is>
          <t>DMs (15/day) — focus on warm leads only</t>
        </is>
      </c>
      <c r="F26" s="2" t="inlineStr">
        <is>
          <t>CRITICAL: Count warm leads. If &lt; 50, add more cold outreach</t>
        </is>
      </c>
      <c r="G26" s="2" t="inlineStr">
        <is>
          <t>Prep WhatsApp Business account</t>
        </is>
      </c>
      <c r="H26" s="2" t="inlineStr">
        <is>
          <t>Plan live elements for Phase 3</t>
        </is>
      </c>
      <c r="I26" s="2" t="inlineStr">
        <is>
          <t>Warm lead count assessed</t>
        </is>
      </c>
      <c r="J26" s="2" t="inlineStr">
        <is>
          <t>Not Started</t>
        </is>
      </c>
    </row>
    <row r="27">
      <c r="A27" s="2" t="inlineStr">
        <is>
          <t>2026-05-01</t>
        </is>
      </c>
      <c r="B27" s="2" t="inlineStr">
        <is>
          <t>Friday</t>
        </is>
      </c>
      <c r="C27" s="2" t="n">
        <v>4</v>
      </c>
      <c r="D27" s="2" t="inlineStr">
        <is>
          <t>Interest</t>
        </is>
      </c>
      <c r="E27" s="2" t="inlineStr">
        <is>
          <t>DMs (15/day)</t>
        </is>
      </c>
      <c r="F27" s="2" t="inlineStr">
        <is>
          <t>WEEKLY REVIEW: total warm leads, engagement rates</t>
        </is>
      </c>
      <c r="G27" s="2" t="inlineStr">
        <is>
          <t>Finalize Phase 3 launch plan</t>
        </is>
      </c>
      <c r="H27" s="2" t="inlineStr">
        <is>
          <t>Prepare urgency messaging</t>
        </is>
      </c>
      <c r="I27" s="2" t="inlineStr">
        <is>
          <t>Phase 3 launch plan finalized</t>
        </is>
      </c>
      <c r="J27" s="2" t="inlineStr">
        <is>
          <t>Not Started</t>
        </is>
      </c>
    </row>
    <row r="28">
      <c r="A28" s="2" t="inlineStr">
        <is>
          <t>2026-05-02</t>
        </is>
      </c>
      <c r="B28" s="2" t="inlineStr">
        <is>
          <t>Saturday</t>
        </is>
      </c>
      <c r="C28" s="2" t="n">
        <v>4</v>
      </c>
      <c r="D28" s="2" t="inlineStr">
        <is>
          <t>Interest</t>
        </is>
      </c>
      <c r="E28" s="2" t="inlineStr">
        <is>
          <t>Light follow-ups</t>
        </is>
      </c>
      <c r="F28" s="2" t="inlineStr">
        <is>
          <t>Organize all warm leads for Phase 3 push</t>
        </is>
      </c>
      <c r="G28" s="2" t="inlineStr">
        <is>
          <t>Test all Phase 3 emails</t>
        </is>
      </c>
      <c r="H28" s="2" t="inlineStr">
        <is>
          <t>Rest</t>
        </is>
      </c>
      <c r="I28" s="2" t="inlineStr">
        <is>
          <t>Phase 3 ready to launch</t>
        </is>
      </c>
      <c r="J28" s="2" t="inlineStr">
        <is>
          <t>Not Started</t>
        </is>
      </c>
    </row>
    <row r="29">
      <c r="A29" s="2" t="inlineStr">
        <is>
          <t>2026-05-03</t>
        </is>
      </c>
      <c r="B29" s="2" t="inlineStr">
        <is>
          <t>Sunday</t>
        </is>
      </c>
      <c r="C29" s="2" t="n">
        <v>4</v>
      </c>
      <c r="D29" s="2" t="inlineStr">
        <is>
          <t>Interest</t>
        </is>
      </c>
      <c r="E29" s="2" t="inlineStr">
        <is>
          <t>Final Phase 3 prep</t>
        </is>
      </c>
      <c r="F29" s="2" t="inlineStr">
        <is>
          <t>Review all scripts and messaging</t>
        </is>
      </c>
      <c r="G29" s="2" t="inlineStr">
        <is>
          <t>Mental prep for push week</t>
        </is>
      </c>
      <c r="H29" s="2" t="inlineStr">
        <is>
          <t>Rest</t>
        </is>
      </c>
      <c r="I29" s="2" t="inlineStr">
        <is>
          <t>Ready for Phase 3</t>
        </is>
      </c>
      <c r="J29" s="2" t="inlineStr">
        <is>
          <t>Not Started</t>
        </is>
      </c>
    </row>
    <row r="30">
      <c r="A30" s="2" t="inlineStr">
        <is>
          <t>2026-05-04</t>
        </is>
      </c>
      <c r="B30" s="2" t="inlineStr">
        <is>
          <t>Monday</t>
        </is>
      </c>
      <c r="C30" s="2" t="n">
        <v>5</v>
      </c>
      <c r="D30" s="2" t="inlineStr">
        <is>
          <t>Desire</t>
        </is>
      </c>
      <c r="E30" s="2" t="inlineStr">
        <is>
          <t>Launch Email 4 (Offer Reveal) in GHL</t>
        </is>
      </c>
      <c r="F30" s="2" t="inlineStr">
        <is>
          <t>Urgency DMs to all warm leads (15-20/day)</t>
        </is>
      </c>
      <c r="G30" s="2" t="inlineStr">
        <is>
          <t>First WhatsApp voice notes to HOT leads</t>
        </is>
      </c>
      <c r="H30" s="2" t="inlineStr">
        <is>
          <t>LinkedIn urgency post</t>
        </is>
      </c>
      <c r="I30" s="2" t="inlineStr">
        <is>
          <t>Offer revealed across all channels</t>
        </is>
      </c>
      <c r="J30" s="2" t="inlineStr">
        <is>
          <t>Not Started</t>
        </is>
      </c>
    </row>
    <row r="31">
      <c r="A31" s="2" t="inlineStr">
        <is>
          <t>2026-05-05</t>
        </is>
      </c>
      <c r="B31" s="2" t="inlineStr">
        <is>
          <t>Tuesday</t>
        </is>
      </c>
      <c r="C31" s="2" t="n">
        <v>5</v>
      </c>
      <c r="D31" s="2" t="inlineStr">
        <is>
          <t>Desire</t>
        </is>
      </c>
      <c r="E31" s="2" t="inlineStr">
        <is>
          <t>Monitor Email 4 performance</t>
        </is>
      </c>
      <c r="F31" s="2" t="inlineStr">
        <is>
          <t>DMs (15/day) — respond to all replies FAST</t>
        </is>
      </c>
      <c r="G31" s="2" t="inlineStr">
        <is>
          <t>WhatsApp follow-ups (5-10/day)</t>
        </is>
      </c>
      <c r="H31" s="2" t="inlineStr">
        <is>
          <t>Facebook group — share testimonial post</t>
        </is>
      </c>
      <c r="I31" s="2" t="inlineStr">
        <is>
          <t>Responses tracked</t>
        </is>
      </c>
      <c r="J31" s="2" t="inlineStr">
        <is>
          <t>Not Started</t>
        </is>
      </c>
    </row>
    <row r="32">
      <c r="A32" s="2" t="inlineStr">
        <is>
          <t>2026-05-06</t>
        </is>
      </c>
      <c r="B32" s="2" t="inlineStr">
        <is>
          <t>Wednesday</t>
        </is>
      </c>
      <c r="C32" s="2" t="n">
        <v>5</v>
      </c>
      <c r="D32" s="2" t="inlineStr">
        <is>
          <t>Desire</t>
        </is>
      </c>
      <c r="E32" s="2" t="inlineStr">
        <is>
          <t>Launch Email 5 (Bonus Stack)</t>
        </is>
      </c>
      <c r="F32" s="2" t="inlineStr">
        <is>
          <t>DMs (15/day) — highlight bonuses expiring</t>
        </is>
      </c>
      <c r="G32" s="2" t="inlineStr">
        <is>
          <t>WhatsApp voice notes to new warm leads</t>
        </is>
      </c>
      <c r="H32" s="2" t="inlineStr">
        <is>
          <t>LinkedIn post about results</t>
        </is>
      </c>
      <c r="I32" s="2" t="inlineStr">
        <is>
          <t>Bonus urgency live</t>
        </is>
      </c>
      <c r="J32" s="2" t="inlineStr">
        <is>
          <t>Not Started</t>
        </is>
      </c>
    </row>
    <row r="33">
      <c r="A33" s="2" t="inlineStr">
        <is>
          <t>2026-05-07</t>
        </is>
      </c>
      <c r="B33" s="2" t="inlineStr">
        <is>
          <t>Thursday</t>
        </is>
      </c>
      <c r="C33" s="2" t="n">
        <v>5</v>
      </c>
      <c r="D33" s="2" t="inlineStr">
        <is>
          <t>Desire</t>
        </is>
      </c>
      <c r="E33" s="2" t="inlineStr">
        <is>
          <t>Monitor Email 5, prep Email 6</t>
        </is>
      </c>
      <c r="F33" s="2" t="inlineStr">
        <is>
          <t>DMs (10/day) — personal touch messages</t>
        </is>
      </c>
      <c r="G33" s="2" t="inlineStr">
        <is>
          <t>WhatsApp follow-ups</t>
        </is>
      </c>
      <c r="H33" s="2" t="inlineStr">
        <is>
          <t>Facebook group engagement</t>
        </is>
      </c>
      <c r="I33" s="2" t="inlineStr">
        <is>
          <t>Desire building</t>
        </is>
      </c>
      <c r="J33" s="2" t="inlineStr">
        <is>
          <t>Not Started</t>
        </is>
      </c>
    </row>
    <row r="34">
      <c r="A34" s="2" t="inlineStr">
        <is>
          <t>2026-05-08</t>
        </is>
      </c>
      <c r="B34" s="2" t="inlineStr">
        <is>
          <t>Friday</t>
        </is>
      </c>
      <c r="C34" s="2" t="n">
        <v>5</v>
      </c>
      <c r="D34" s="2" t="inlineStr">
        <is>
          <t>Desire</t>
        </is>
      </c>
      <c r="E34" s="2" t="inlineStr">
        <is>
          <t>Launch Email 6 (Testimonials)</t>
        </is>
      </c>
      <c r="F34" s="2" t="inlineStr">
        <is>
          <t>DMs (10/day) — share social proof</t>
        </is>
      </c>
      <c r="G34" s="2" t="inlineStr">
        <is>
          <t>WEEKLY REVIEW: sales count, conversion rate</t>
        </is>
      </c>
      <c r="H34" s="2" t="inlineStr">
        <is>
          <t>Prep Phase 4 (close) materials</t>
        </is>
      </c>
      <c r="I34" s="2" t="inlineStr">
        <is>
          <t>Phase 4 prep started</t>
        </is>
      </c>
      <c r="J34" s="2" t="inlineStr">
        <is>
          <t>Not Started</t>
        </is>
      </c>
    </row>
    <row r="35">
      <c r="A35" s="2" t="inlineStr">
        <is>
          <t>2026-05-09</t>
        </is>
      </c>
      <c r="B35" s="2" t="inlineStr">
        <is>
          <t>Saturday</t>
        </is>
      </c>
      <c r="C35" s="2" t="n">
        <v>5</v>
      </c>
      <c r="D35" s="2" t="inlineStr">
        <is>
          <t>Desire</t>
        </is>
      </c>
      <c r="E35" s="2" t="inlineStr">
        <is>
          <t>Count sales so far. If &lt; 10, extend deadline by 5 days</t>
        </is>
      </c>
      <c r="F35" s="2" t="inlineStr">
        <is>
          <t>Final WhatsApp push to undecided leads</t>
        </is>
      </c>
      <c r="G35" s="2" t="inlineStr">
        <is>
          <t>Review what's working, double down</t>
        </is>
      </c>
      <c r="H35" s="2" t="inlineStr">
        <is>
          <t>Rest</t>
        </is>
      </c>
      <c r="I35" s="2" t="inlineStr">
        <is>
          <t>Sales assessment</t>
        </is>
      </c>
      <c r="J35" s="2" t="inlineStr">
        <is>
          <t>Not Started</t>
        </is>
      </c>
    </row>
    <row r="36">
      <c r="A36" s="2" t="inlineStr">
        <is>
          <t>2026-05-10</t>
        </is>
      </c>
      <c r="B36" s="2" t="inlineStr">
        <is>
          <t>Sunday</t>
        </is>
      </c>
      <c r="C36" s="2" t="n">
        <v>5</v>
      </c>
      <c r="D36" s="2" t="inlineStr">
        <is>
          <t>Desire</t>
        </is>
      </c>
      <c r="E36" s="2" t="inlineStr">
        <is>
          <t>Plan close week (Phase 4)</t>
        </is>
      </c>
      <c r="F36" s="2" t="inlineStr">
        <is>
          <t>Prep all final emails and DMs</t>
        </is>
      </c>
      <c r="G36" s="2" t="inlineStr">
        <is>
          <t>Organize non-buyer list for re-engagement</t>
        </is>
      </c>
      <c r="H36" s="2" t="inlineStr">
        <is>
          <t>Rest</t>
        </is>
      </c>
      <c r="I36" s="2" t="inlineStr">
        <is>
          <t>Close week ready</t>
        </is>
      </c>
      <c r="J36" s="2" t="inlineStr">
        <is>
          <t>Not Started</t>
        </is>
      </c>
    </row>
    <row r="37">
      <c r="A37" s="2" t="inlineStr">
        <is>
          <t>2026-05-11</t>
        </is>
      </c>
      <c r="B37" s="2" t="inlineStr">
        <is>
          <t>Monday</t>
        </is>
      </c>
      <c r="C37" s="2" t="n">
        <v>6</v>
      </c>
      <c r="D37" s="2" t="inlineStr">
        <is>
          <t>Action</t>
        </is>
      </c>
      <c r="E37" s="2" t="inlineStr">
        <is>
          <t>Launch Email 7 (48hr Warning)</t>
        </is>
      </c>
      <c r="F37" s="2" t="inlineStr">
        <is>
          <t>DM re-engagement of ALL non-buyers</t>
        </is>
      </c>
      <c r="G37" s="2" t="inlineStr">
        <is>
          <t>WhatsApp final reminders to warm leads</t>
        </is>
      </c>
      <c r="H37" s="2" t="inlineStr">
        <is>
          <t>LinkedIn final post</t>
        </is>
      </c>
      <c r="I37" s="2" t="inlineStr">
        <is>
          <t>48hr countdown started</t>
        </is>
      </c>
      <c r="J37" s="2" t="inlineStr">
        <is>
          <t>Not Started</t>
        </is>
      </c>
    </row>
    <row r="38">
      <c r="A38" s="2" t="inlineStr">
        <is>
          <t>2026-05-12</t>
        </is>
      </c>
      <c r="B38" s="2" t="inlineStr">
        <is>
          <t>Tuesday</t>
        </is>
      </c>
      <c r="C38" s="2" t="n">
        <v>6</v>
      </c>
      <c r="D38" s="2" t="inlineStr">
        <is>
          <t>Action</t>
        </is>
      </c>
      <c r="E38" s="2" t="inlineStr">
        <is>
          <t>Launch Email 8 (24hr Warning)</t>
        </is>
      </c>
      <c r="F38" s="2" t="inlineStr">
        <is>
          <t>DMs (10/day) — personal last-chance messages</t>
        </is>
      </c>
      <c r="G38" s="2" t="inlineStr">
        <is>
          <t>WhatsApp text messages with link</t>
        </is>
      </c>
      <c r="H38" s="2" t="inlineStr">
        <is>
          <t>Monitor real-time sales</t>
        </is>
      </c>
      <c r="I38" s="2" t="inlineStr">
        <is>
          <t>24hr countdown</t>
        </is>
      </c>
      <c r="J38" s="2" t="inlineStr">
        <is>
          <t>Not Started</t>
        </is>
      </c>
    </row>
    <row r="39">
      <c r="A39" s="2" t="inlineStr">
        <is>
          <t>2026-05-13</t>
        </is>
      </c>
      <c r="B39" s="2" t="inlineStr">
        <is>
          <t>Wednesday</t>
        </is>
      </c>
      <c r="C39" s="2" t="n">
        <v>6</v>
      </c>
      <c r="D39" s="2" t="inlineStr">
        <is>
          <t>Action</t>
        </is>
      </c>
      <c r="E39" s="2" t="inlineStr">
        <is>
          <t>Launch Email 9 (Final Close — 6hrs before)</t>
        </is>
      </c>
      <c r="F39" s="2" t="inlineStr">
        <is>
          <t>Last round of DMs to fence-sitters</t>
        </is>
      </c>
      <c r="G39" s="2" t="inlineStr">
        <is>
          <t>WhatsApp final voice notes</t>
        </is>
      </c>
      <c r="H39" s="2" t="inlineStr">
        <is>
          <t>CLOSE THE WINDOW — remove discount</t>
        </is>
      </c>
      <c r="I39" s="2" t="inlineStr">
        <is>
          <t>CAMPAIGN CLOSED</t>
        </is>
      </c>
      <c r="J39" s="2" t="inlineStr">
        <is>
          <t>Not Started</t>
        </is>
      </c>
    </row>
    <row r="40">
      <c r="A40" s="2" t="inlineStr">
        <is>
          <t>2026-05-14</t>
        </is>
      </c>
      <c r="B40" s="2" t="inlineStr">
        <is>
          <t>Thursday</t>
        </is>
      </c>
      <c r="C40" s="2" t="n">
        <v>6</v>
      </c>
      <c r="D40" s="2" t="inlineStr">
        <is>
          <t>Action</t>
        </is>
      </c>
      <c r="E40" s="2" t="inlineStr">
        <is>
          <t>Send thank-you message to all buyers</t>
        </is>
      </c>
      <c r="F40" s="2" t="inlineStr">
        <is>
          <t>Document final metrics across all channels</t>
        </is>
      </c>
      <c r="G40" s="2" t="inlineStr">
        <is>
          <t>Calculate ROI and channel performance</t>
        </is>
      </c>
      <c r="H40" s="2" t="inlineStr">
        <is>
          <t>Begin post-campaign analysis</t>
        </is>
      </c>
      <c r="I40" s="2" t="inlineStr">
        <is>
          <t>Final metrics documented</t>
        </is>
      </c>
      <c r="J40" s="2" t="inlineStr">
        <is>
          <t>Not Started</t>
        </is>
      </c>
    </row>
    <row r="41">
      <c r="A41" s="2" t="inlineStr">
        <is>
          <t>2026-05-15</t>
        </is>
      </c>
      <c r="B41" s="2" t="inlineStr">
        <is>
          <t>Friday</t>
        </is>
      </c>
      <c r="C41" s="2" t="n">
        <v>6</v>
      </c>
      <c r="D41" s="2" t="inlineStr">
        <is>
          <t>Action</t>
        </is>
      </c>
      <c r="E41" s="2" t="inlineStr">
        <is>
          <t>Complete campaign post-mortem</t>
        </is>
      </c>
      <c r="F41" s="2" t="inlineStr">
        <is>
          <t>Update Channel Performance sheet</t>
        </is>
      </c>
      <c r="G41" s="2" t="inlineStr">
        <is>
          <t>Identify top-performing channels for next campaign</t>
        </is>
      </c>
      <c r="H41" s="2" t="inlineStr">
        <is>
          <t>Plan next steps / repeat campaign</t>
        </is>
      </c>
      <c r="I41" s="2" t="inlineStr">
        <is>
          <t>Campaign complete</t>
        </is>
      </c>
      <c r="J41" s="2" t="inlineStr">
        <is>
          <t>Not Started</t>
        </is>
      </c>
    </row>
    <row r="42">
      <c r="A42" s="2" t="inlineStr">
        <is>
          <t>2026-05-16</t>
        </is>
      </c>
      <c r="B42" s="2" t="inlineStr">
        <is>
          <t>Saturday</t>
        </is>
      </c>
      <c r="C42" s="2" t="n">
        <v>6</v>
      </c>
      <c r="D42" s="2" t="inlineStr">
        <is>
          <t>Action</t>
        </is>
      </c>
      <c r="E42" s="2" t="inlineStr">
        <is>
          <t>Rest + celebrate results</t>
        </is>
      </c>
      <c r="F42" s="2" t="inlineStr"/>
      <c r="G42" s="2" t="inlineStr"/>
      <c r="H42" s="2" t="inlineStr"/>
      <c r="I42" s="2" t="inlineStr"/>
      <c r="J42" s="2" t="inlineStr">
        <is>
          <t>Not Started</t>
        </is>
      </c>
    </row>
    <row r="43">
      <c r="A43" s="2" t="inlineStr">
        <is>
          <t>2026-05-17</t>
        </is>
      </c>
      <c r="B43" s="2" t="inlineStr">
        <is>
          <t>Sunday</t>
        </is>
      </c>
      <c r="C43" s="2" t="n">
        <v>6</v>
      </c>
      <c r="D43" s="2" t="inlineStr">
        <is>
          <t>Action</t>
        </is>
      </c>
      <c r="E43" s="2" t="inlineStr"/>
      <c r="F43" s="2" t="inlineStr"/>
      <c r="G43" s="2" t="inlineStr"/>
      <c r="H43" s="2" t="inlineStr"/>
      <c r="I43" s="2" t="inlineStr"/>
      <c r="J43" s="2" t="inlineStr">
        <is>
          <t>Not Started</t>
        </is>
      </c>
    </row>
  </sheetData>
  <dataValidations count="1">
    <dataValidation sqref="J2:J43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2026-03-29T07:47:38Z</dcterms:created>
  <dcterms:modified xmlns:dcterms="http://purl.org/dc/terms/" xmlns:xsi="http://www.w3.org/2001/XMLSchema-instance" xsi:type="dcterms:W3CDTF">2026-03-29T07:47:38Z</dcterms:modified>
</cp:coreProperties>
</file>